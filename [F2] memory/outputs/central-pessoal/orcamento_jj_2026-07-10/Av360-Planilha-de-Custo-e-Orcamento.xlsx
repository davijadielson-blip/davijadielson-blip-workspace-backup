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5ffb4a37e81d02d/Documentos/LÓGIKA/Planilha de Custo e Orçamento -Av360/"/>
    </mc:Choice>
  </mc:AlternateContent>
  <xr:revisionPtr revIDLastSave="0" documentId="8_{8E5D88A6-7CA7-4572-B039-AD32D47AF1B6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Planilha de Custo" sheetId="1" r:id="rId1"/>
    <sheet name="Orçamento Clien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F35" i="2"/>
  <c r="C35" i="2"/>
  <c r="F34" i="2"/>
  <c r="C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C16" i="2"/>
  <c r="C15" i="2"/>
  <c r="C14" i="2"/>
  <c r="C13" i="2"/>
  <c r="D5" i="2"/>
  <c r="E67" i="1"/>
  <c r="E66" i="1"/>
  <c r="E65" i="1"/>
  <c r="E64" i="1"/>
  <c r="E68" i="1" s="1"/>
  <c r="E60" i="1"/>
  <c r="E59" i="1"/>
  <c r="E58" i="1"/>
  <c r="E57" i="1"/>
  <c r="E53" i="1"/>
  <c r="E52" i="1"/>
  <c r="E51" i="1"/>
  <c r="E50" i="1"/>
  <c r="E49" i="1"/>
  <c r="E48" i="1"/>
  <c r="E47" i="1"/>
  <c r="E54" i="1" s="1"/>
  <c r="E43" i="1"/>
  <c r="E42" i="1"/>
  <c r="E41" i="1"/>
  <c r="E44" i="1" s="1"/>
  <c r="E38" i="1"/>
  <c r="E37" i="1"/>
  <c r="E36" i="1"/>
  <c r="E35" i="1"/>
  <c r="E34" i="1"/>
  <c r="E33" i="1"/>
  <c r="E26" i="1"/>
  <c r="E25" i="1"/>
  <c r="E24" i="1"/>
  <c r="E23" i="1"/>
  <c r="E22" i="1"/>
  <c r="E21" i="1"/>
  <c r="E20" i="1"/>
  <c r="E19" i="1"/>
  <c r="E18" i="1"/>
  <c r="E17" i="1"/>
  <c r="E16" i="1"/>
  <c r="E15" i="1"/>
  <c r="E61" i="1" l="1"/>
  <c r="E29" i="1"/>
  <c r="E70" i="1"/>
  <c r="E74" i="1" s="1"/>
  <c r="E78" i="1" s="1"/>
  <c r="D40" i="2" s="1"/>
</calcChain>
</file>

<file path=xl/sharedStrings.xml><?xml version="1.0" encoding="utf-8"?>
<sst xmlns="http://schemas.openxmlformats.org/spreadsheetml/2006/main" count="86" uniqueCount="78">
  <si>
    <t>Planilha de Custos</t>
  </si>
  <si>
    <t xml:space="preserve">Data 📅: </t>
  </si>
  <si>
    <t>1 de maio de 2025</t>
  </si>
  <si>
    <t>Nº 0100</t>
  </si>
  <si>
    <t>Campanha 🎯:</t>
  </si>
  <si>
    <t>Descritivo📝:</t>
  </si>
  <si>
    <t>3)</t>
  </si>
  <si>
    <t>4)</t>
  </si>
  <si>
    <t>Categoria</t>
  </si>
  <si>
    <t>Descrição</t>
  </si>
  <si>
    <t>Valor Unit. (R$)</t>
  </si>
  <si>
    <t>Quantidade</t>
  </si>
  <si>
    <t>Total (R$)</t>
  </si>
  <si>
    <t>1. Equipe Técnica 📦</t>
  </si>
  <si>
    <t>Diretor</t>
  </si>
  <si>
    <t>Diretor de Fotografia</t>
  </si>
  <si>
    <t>Operador de Câmera</t>
  </si>
  <si>
    <t>Assistente de Câmera</t>
  </si>
  <si>
    <t>Gaffer (Iluminação) / elétrica</t>
  </si>
  <si>
    <t>Operador de Drone</t>
  </si>
  <si>
    <t>Operador de áudio</t>
  </si>
  <si>
    <t>Cenógrafo</t>
  </si>
  <si>
    <t>Figurinista</t>
  </si>
  <si>
    <t xml:space="preserve">Maquiador(a) </t>
  </si>
  <si>
    <t>Cabelereiro</t>
  </si>
  <si>
    <t>Outros</t>
  </si>
  <si>
    <t xml:space="preserve">TOTAL </t>
  </si>
  <si>
    <t>2. Equipamentos 📸</t>
  </si>
  <si>
    <t>Câmera</t>
  </si>
  <si>
    <t>Lentes</t>
  </si>
  <si>
    <t>Iluminação</t>
  </si>
  <si>
    <t>Acessórios</t>
  </si>
  <si>
    <t>3. Elenco 🎭</t>
  </si>
  <si>
    <t>Ator</t>
  </si>
  <si>
    <t>Apresentador</t>
  </si>
  <si>
    <t>Figurante</t>
  </si>
  <si>
    <t>4. Pós Produção 🖥️</t>
  </si>
  <si>
    <t>Edição de Vídeo</t>
  </si>
  <si>
    <t>Color Grading</t>
  </si>
  <si>
    <t>Motion Graphics</t>
  </si>
  <si>
    <t>Editor de Audio</t>
  </si>
  <si>
    <t>Trilha Sonora</t>
  </si>
  <si>
    <t xml:space="preserve">Locução </t>
  </si>
  <si>
    <t>5.Logistica 🚚</t>
  </si>
  <si>
    <t>Transporte</t>
  </si>
  <si>
    <t>Alimentação</t>
  </si>
  <si>
    <t>Hospedagem</t>
  </si>
  <si>
    <t>Locacão</t>
  </si>
  <si>
    <t>6.Entregáveis ✅</t>
  </si>
  <si>
    <t>Versões Extras</t>
  </si>
  <si>
    <t>Taxa de Codecine - CRT</t>
  </si>
  <si>
    <t>Making Of</t>
  </si>
  <si>
    <t xml:space="preserve"> 🔢 Subtotal Geral:</t>
  </si>
  <si>
    <t xml:space="preserve">💸 Impostos </t>
  </si>
  <si>
    <t>🧾 Total com Impostos</t>
  </si>
  <si>
    <t>📈 Margem de Lucro (desejado)</t>
  </si>
  <si>
    <t>✅ Valor Final para o cliente:</t>
  </si>
  <si>
    <t>sua logo aqui</t>
  </si>
  <si>
    <t xml:space="preserve">Para: </t>
  </si>
  <si>
    <t xml:space="preserve">Cliente / Campanha: </t>
  </si>
  <si>
    <t>A/C:</t>
  </si>
  <si>
    <t>Segue abaixo orçamento para produção de:</t>
  </si>
  <si>
    <t xml:space="preserve">Neste orçamento estamos considerado os seguintes itens: </t>
  </si>
  <si>
    <t xml:space="preserve">Total Bruto: </t>
  </si>
  <si>
    <t xml:space="preserve">Condições de pagamento: Entrada 40% + 28ddl </t>
  </si>
  <si>
    <t xml:space="preserve">OBSERVAÇOES: </t>
  </si>
  <si>
    <t>- Orçamento válido por cinco (5) dias após data de envio.</t>
  </si>
  <si>
    <t>- Serão realizadas 2 rodadas de alteração. Acima disso, será cobrado adicional.</t>
  </si>
  <si>
    <t>- Arquivos finais serão entregues por link de download. Armazenamento garantido por 30 dias.</t>
  </si>
  <si>
    <t xml:space="preserve"> </t>
  </si>
  <si>
    <t>- As imagens brutas (sem tratamento ou edição) não são liberadas.</t>
  </si>
  <si>
    <t>• As imagens finalizadas têm uso restrito à campanha acordada.</t>
  </si>
  <si>
    <t>-Em caso de cancelamento após início do projeto, poderá haver cobrança proporcional aos custos já ocorridos.</t>
  </si>
  <si>
    <t>Nome / Cargo / Assinatura</t>
  </si>
  <si>
    <t>Cliente 👤: JOGOS INDÍGINAS TERRA NOVA</t>
  </si>
  <si>
    <t>2) VIDEO GERAL DO EVENTO</t>
  </si>
  <si>
    <t>1)  VIDEO DE ABERTURA 1m30seg</t>
  </si>
  <si>
    <t xml:space="preserve">São Sebastião,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</si>
</sst>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1" x14ac:knownFonts="1">
    <font>
      <sz val="11"/>
      <color theme="1"/>
      <name val="Calibri"/>
      <scheme val="minor"/>
    </font>
    <font>
      <b/>
      <sz val="20"/>
      <color rgb="FF4F81BD"/>
      <name val="Montserrat"/>
    </font>
    <font>
      <sz val="11"/>
      <name val="Calibri"/>
    </font>
    <font>
      <sz val="20"/>
      <color theme="1"/>
      <name val="Montserrat"/>
    </font>
    <font>
      <b/>
      <sz val="14"/>
      <color theme="0"/>
      <name val="Montserrat"/>
    </font>
    <font>
      <b/>
      <sz val="20"/>
      <color theme="0"/>
      <name val="Montserrat"/>
    </font>
    <font>
      <sz val="14"/>
      <color rgb="FF3F3F3F"/>
      <name val="Montserrat"/>
    </font>
    <font>
      <sz val="11"/>
      <color theme="1"/>
      <name val="Montserrat"/>
    </font>
    <font>
      <b/>
      <sz val="12"/>
      <color rgb="FF666666"/>
      <name val="Montserrat"/>
    </font>
    <font>
      <sz val="12"/>
      <color rgb="FF666666"/>
      <name val="Montserrat"/>
    </font>
    <font>
      <b/>
      <sz val="12"/>
      <color rgb="FF595959"/>
      <name val="Montserrat"/>
    </font>
    <font>
      <sz val="12"/>
      <color rgb="FF595959"/>
      <name val="Montserrat"/>
    </font>
    <font>
      <b/>
      <sz val="13"/>
      <color rgb="FFFFFFFF"/>
      <name val="Montserrat"/>
    </font>
    <font>
      <sz val="13"/>
      <color theme="1"/>
      <name val="Montserrat"/>
    </font>
    <font>
      <b/>
      <sz val="14"/>
      <color rgb="FFFFFFFF"/>
      <name val="Montserrat"/>
    </font>
    <font>
      <sz val="14"/>
      <color theme="1"/>
      <name val="Montserrat"/>
    </font>
    <font>
      <sz val="11"/>
      <color rgb="FF3F3F3F"/>
      <name val="Montserrat"/>
    </font>
    <font>
      <b/>
      <sz val="11"/>
      <color rgb="FF595959"/>
      <name val="Montserrat"/>
    </font>
    <font>
      <sz val="11"/>
      <color rgb="FF595959"/>
      <name val="Montserrat"/>
    </font>
    <font>
      <b/>
      <sz val="11"/>
      <color rgb="FF7F7F7F"/>
      <name val="Montserrat"/>
    </font>
    <font>
      <sz val="11"/>
      <color rgb="FF7F7F7F"/>
      <name val="Montserrat"/>
    </font>
    <font>
      <sz val="11"/>
      <color theme="1"/>
      <name val="Montserrat"/>
    </font>
    <font>
      <b/>
      <sz val="12"/>
      <color theme="0"/>
      <name val="Montserrat"/>
    </font>
    <font>
      <b/>
      <sz val="12"/>
      <color rgb="FF7F7F7F"/>
      <name val="Montserrat"/>
    </font>
    <font>
      <sz val="12"/>
      <color rgb="FF3F3F3F"/>
      <name val="Montserrat"/>
    </font>
    <font>
      <sz val="12"/>
      <color theme="1"/>
      <name val="Montserrat"/>
    </font>
    <font>
      <b/>
      <sz val="11"/>
      <color theme="0"/>
      <name val="Montserrat"/>
    </font>
    <font>
      <sz val="11"/>
      <color theme="0"/>
      <name val="Montserrat"/>
    </font>
    <font>
      <sz val="11"/>
      <color rgb="FF666666"/>
      <name val="Montserrat"/>
    </font>
    <font>
      <sz val="11"/>
      <color rgb="FF434343"/>
      <name val="Montserrat"/>
    </font>
    <font>
      <sz val="11"/>
      <color rgb="FFFFFFFF"/>
      <name val="Montserrat"/>
    </font>
    <font>
      <b/>
      <sz val="14"/>
      <color rgb="FF595959"/>
      <name val="Montserrat"/>
    </font>
    <font>
      <b/>
      <sz val="14"/>
      <color rgb="FF434343"/>
      <name val="Montserrat"/>
    </font>
    <font>
      <sz val="14"/>
      <color rgb="FF595959"/>
      <name val="Montserrat"/>
    </font>
    <font>
      <b/>
      <sz val="12"/>
      <color rgb="FF3F3F3F"/>
      <name val="Montserrat"/>
    </font>
    <font>
      <b/>
      <sz val="14"/>
      <color rgb="FF3F3F3F"/>
      <name val="Montserrat"/>
    </font>
    <font>
      <sz val="11"/>
      <color theme="1"/>
      <name val="Calibri"/>
      <scheme val="minor"/>
    </font>
    <font>
      <sz val="7"/>
      <color rgb="FF212121"/>
      <name val="Montserrat"/>
    </font>
    <font>
      <b/>
      <sz val="11"/>
      <color rgb="FF212121"/>
      <name val="Montserrat"/>
    </font>
    <font>
      <sz val="11"/>
      <color rgb="FF212121"/>
      <name val="Montserrat"/>
    </font>
    <font>
      <sz val="9"/>
      <color rgb="FF3F3F3F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rgb="FF548DD4"/>
        <bgColor rgb="FF548DD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AF1DD"/>
        <bgColor rgb="FFEAF1DD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548DD4"/>
      </left>
      <right/>
      <top/>
      <bottom/>
      <diagonal/>
    </border>
    <border>
      <left style="thick">
        <color rgb="FF4A86E8"/>
      </left>
      <right/>
      <top style="thick">
        <color rgb="FF4A86E8"/>
      </top>
      <bottom style="thin">
        <color rgb="FFFFFFFF"/>
      </bottom>
      <diagonal/>
    </border>
    <border>
      <left/>
      <right/>
      <top style="thick">
        <color rgb="FF4A86E8"/>
      </top>
      <bottom style="thin">
        <color rgb="FFFFFFFF"/>
      </bottom>
      <diagonal/>
    </border>
    <border>
      <left/>
      <right style="thick">
        <color rgb="FF4A86E8"/>
      </right>
      <top style="thick">
        <color rgb="FF4A86E8"/>
      </top>
      <bottom style="thin">
        <color rgb="FFFFFFFF"/>
      </bottom>
      <diagonal/>
    </border>
    <border>
      <left style="thick">
        <color rgb="FF4A86E8"/>
      </left>
      <right/>
      <top style="thick">
        <color rgb="FF4A86E8"/>
      </top>
      <bottom/>
      <diagonal/>
    </border>
    <border>
      <left style="medium">
        <color rgb="FF548DD4"/>
      </left>
      <right style="medium">
        <color rgb="FF548DD4"/>
      </right>
      <top style="thick">
        <color rgb="FF4A86E8"/>
      </top>
      <bottom/>
      <diagonal/>
    </border>
    <border>
      <left/>
      <right/>
      <top style="thick">
        <color rgb="FF4A86E8"/>
      </top>
      <bottom/>
      <diagonal/>
    </border>
    <border>
      <left style="medium">
        <color rgb="FF548DD4"/>
      </left>
      <right style="thick">
        <color rgb="FF4A86E8"/>
      </right>
      <top style="thick">
        <color rgb="FF4A86E8"/>
      </top>
      <bottom/>
      <diagonal/>
    </border>
    <border>
      <left style="thick">
        <color rgb="FF4A86E8"/>
      </left>
      <right/>
      <top/>
      <bottom/>
      <diagonal/>
    </border>
    <border>
      <left style="medium">
        <color rgb="FF548DD4"/>
      </left>
      <right style="medium">
        <color rgb="FF548DD4"/>
      </right>
      <top/>
      <bottom/>
      <diagonal/>
    </border>
    <border>
      <left style="medium">
        <color rgb="FF548DD4"/>
      </left>
      <right style="thick">
        <color rgb="FF4A86E8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548DD4"/>
      </left>
      <right style="medium">
        <color rgb="FF548DD4"/>
      </right>
      <top/>
      <bottom/>
      <diagonal/>
    </border>
    <border>
      <left style="medium">
        <color rgb="FF548DD4"/>
      </left>
      <right style="thick">
        <color rgb="FF4A86E8"/>
      </right>
      <top/>
      <bottom/>
      <diagonal/>
    </border>
    <border>
      <left style="medium">
        <color rgb="FF548DD4"/>
      </left>
      <right style="medium">
        <color rgb="FF548DD4"/>
      </right>
      <top/>
      <bottom style="medium">
        <color rgb="FF548DD4"/>
      </bottom>
      <diagonal/>
    </border>
    <border>
      <left style="thick">
        <color rgb="FF4A86E8"/>
      </left>
      <right/>
      <top/>
      <bottom style="thick">
        <color rgb="FF4A86E8"/>
      </bottom>
      <diagonal/>
    </border>
    <border>
      <left style="medium">
        <color rgb="FF548DD4"/>
      </left>
      <right/>
      <top/>
      <bottom style="thick">
        <color rgb="FF4A86E8"/>
      </bottom>
      <diagonal/>
    </border>
    <border>
      <left/>
      <right/>
      <top/>
      <bottom style="thick">
        <color rgb="FF4A86E8"/>
      </bottom>
      <diagonal/>
    </border>
    <border>
      <left style="medium">
        <color rgb="FF548DD4"/>
      </left>
      <right style="medium">
        <color rgb="FF548DD4"/>
      </right>
      <top/>
      <bottom style="thick">
        <color rgb="FF4A86E8"/>
      </bottom>
      <diagonal/>
    </border>
    <border>
      <left style="medium">
        <color rgb="FF548DD4"/>
      </left>
      <right style="thick">
        <color rgb="FF4A86E8"/>
      </right>
      <top/>
      <bottom style="thick">
        <color rgb="FF4A86E8"/>
      </bottom>
      <diagonal/>
    </border>
    <border>
      <left style="medium">
        <color rgb="FF548DD4"/>
      </left>
      <right/>
      <top/>
      <bottom/>
      <diagonal/>
    </border>
    <border>
      <left style="medium">
        <color rgb="FF548DD4"/>
      </left>
      <right/>
      <top/>
      <bottom style="medium">
        <color rgb="FF548DD4"/>
      </bottom>
      <diagonal/>
    </border>
    <border>
      <left/>
      <right/>
      <top/>
      <bottom style="medium">
        <color rgb="FF548DD4"/>
      </bottom>
      <diagonal/>
    </border>
    <border>
      <left/>
      <right style="medium">
        <color rgb="FF548DD4"/>
      </right>
      <top style="thin">
        <color theme="0"/>
      </top>
      <bottom style="thin">
        <color theme="0"/>
      </bottom>
      <diagonal/>
    </border>
    <border>
      <left style="medium">
        <color rgb="FF548DD4"/>
      </left>
      <right style="medium">
        <color rgb="FF548DD4"/>
      </right>
      <top/>
      <bottom style="medium">
        <color rgb="FF548DD4"/>
      </bottom>
      <diagonal/>
    </border>
    <border>
      <left style="medium">
        <color rgb="FF4A86E8"/>
      </left>
      <right/>
      <top style="medium">
        <color rgb="FF4A86E8"/>
      </top>
      <bottom style="medium">
        <color rgb="FF4A86E8"/>
      </bottom>
      <diagonal/>
    </border>
    <border>
      <left/>
      <right style="medium">
        <color rgb="FF4A86E8"/>
      </right>
      <top style="medium">
        <color rgb="FF4A86E8"/>
      </top>
      <bottom style="medium">
        <color rgb="FF4A86E8"/>
      </bottom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 style="medium">
        <color rgb="FF4A86E8"/>
      </bottom>
      <diagonal/>
    </border>
    <border>
      <left style="medium">
        <color rgb="FF4A86E8"/>
      </left>
      <right/>
      <top style="medium">
        <color rgb="FF4A86E8"/>
      </top>
      <bottom/>
      <diagonal/>
    </border>
    <border>
      <left/>
      <right style="medium">
        <color rgb="FF4A86E8"/>
      </right>
      <top style="medium">
        <color rgb="FF4A86E8"/>
      </top>
      <bottom/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4" xfId="0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0" borderId="0" xfId="0" applyFont="1"/>
    <xf numFmtId="0" fontId="10" fillId="3" borderId="0" xfId="0" applyFont="1" applyFill="1" applyAlignment="1">
      <alignment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vertical="center"/>
    </xf>
    <xf numFmtId="0" fontId="13" fillId="0" borderId="0" xfId="0" applyFont="1"/>
    <xf numFmtId="0" fontId="14" fillId="3" borderId="8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5" fillId="3" borderId="5" xfId="0" applyFont="1" applyFill="1" applyBorder="1"/>
    <xf numFmtId="0" fontId="15" fillId="0" borderId="0" xfId="0" applyFont="1"/>
    <xf numFmtId="0" fontId="16" fillId="6" borderId="12" xfId="0" applyFont="1" applyFill="1" applyBorder="1"/>
    <xf numFmtId="0" fontId="17" fillId="0" borderId="13" xfId="0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164" fontId="18" fillId="0" borderId="15" xfId="0" applyNumberFormat="1" applyFont="1" applyBorder="1"/>
    <xf numFmtId="0" fontId="16" fillId="7" borderId="16" xfId="0" applyFont="1" applyFill="1" applyBorder="1"/>
    <xf numFmtId="0" fontId="17" fillId="6" borderId="17" xfId="0" applyFont="1" applyFill="1" applyBorder="1" applyAlignment="1">
      <alignment horizontal="center" vertical="center"/>
    </xf>
    <xf numFmtId="164" fontId="18" fillId="6" borderId="5" xfId="0" applyNumberFormat="1" applyFont="1" applyFill="1" applyBorder="1" applyAlignment="1">
      <alignment horizontal="right" vertical="center"/>
    </xf>
    <xf numFmtId="0" fontId="18" fillId="6" borderId="17" xfId="0" applyFont="1" applyFill="1" applyBorder="1" applyAlignment="1">
      <alignment horizontal="center" vertical="center"/>
    </xf>
    <xf numFmtId="164" fontId="18" fillId="6" borderId="18" xfId="0" applyNumberFormat="1" applyFont="1" applyFill="1" applyBorder="1"/>
    <xf numFmtId="0" fontId="7" fillId="0" borderId="19" xfId="0" applyFont="1" applyBorder="1"/>
    <xf numFmtId="0" fontId="16" fillId="6" borderId="16" xfId="0" applyFont="1" applyFill="1" applyBorder="1"/>
    <xf numFmtId="0" fontId="17" fillId="0" borderId="20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right" vertical="center"/>
    </xf>
    <xf numFmtId="0" fontId="18" fillId="0" borderId="20" xfId="0" applyFont="1" applyBorder="1" applyAlignment="1">
      <alignment horizontal="center" vertical="center"/>
    </xf>
    <xf numFmtId="164" fontId="18" fillId="0" borderId="21" xfId="0" applyNumberFormat="1" applyFont="1" applyBorder="1"/>
    <xf numFmtId="164" fontId="18" fillId="3" borderId="18" xfId="0" applyNumberFormat="1" applyFont="1" applyFill="1" applyBorder="1"/>
    <xf numFmtId="0" fontId="19" fillId="0" borderId="20" xfId="0" applyFont="1" applyBorder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0" fontId="20" fillId="0" borderId="20" xfId="0" applyFont="1" applyBorder="1" applyAlignment="1">
      <alignment horizontal="center" vertical="center"/>
    </xf>
    <xf numFmtId="164" fontId="16" fillId="3" borderId="18" xfId="0" applyNumberFormat="1" applyFont="1" applyFill="1" applyBorder="1"/>
    <xf numFmtId="0" fontId="19" fillId="6" borderId="22" xfId="0" applyFont="1" applyFill="1" applyBorder="1" applyAlignment="1">
      <alignment horizontal="center" vertical="center"/>
    </xf>
    <xf numFmtId="164" fontId="16" fillId="6" borderId="5" xfId="0" applyNumberFormat="1" applyFont="1" applyFill="1" applyBorder="1" applyAlignment="1">
      <alignment horizontal="right" vertical="center"/>
    </xf>
    <xf numFmtId="0" fontId="20" fillId="6" borderId="22" xfId="0" applyFont="1" applyFill="1" applyBorder="1" applyAlignment="1">
      <alignment horizontal="center" vertical="center"/>
    </xf>
    <xf numFmtId="164" fontId="16" fillId="6" borderId="18" xfId="0" applyNumberFormat="1" applyFont="1" applyFill="1" applyBorder="1"/>
    <xf numFmtId="0" fontId="21" fillId="0" borderId="0" xfId="0" applyFont="1"/>
    <xf numFmtId="0" fontId="22" fillId="5" borderId="23" xfId="0" applyFont="1" applyFill="1" applyBorder="1"/>
    <xf numFmtId="0" fontId="23" fillId="5" borderId="24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3" fillId="5" borderId="26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right" vertical="center"/>
    </xf>
    <xf numFmtId="0" fontId="25" fillId="0" borderId="0" xfId="0" applyFont="1"/>
    <xf numFmtId="0" fontId="16" fillId="0" borderId="0" xfId="0" applyFont="1"/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6" borderId="0" xfId="0" applyFont="1" applyFill="1"/>
    <xf numFmtId="0" fontId="19" fillId="6" borderId="17" xfId="0" applyFont="1" applyFill="1" applyBorder="1" applyAlignment="1">
      <alignment horizontal="center" vertical="center"/>
    </xf>
    <xf numFmtId="164" fontId="18" fillId="6" borderId="17" xfId="0" applyNumberFormat="1" applyFont="1" applyFill="1" applyBorder="1"/>
    <xf numFmtId="0" fontId="18" fillId="7" borderId="0" xfId="0" applyFont="1" applyFill="1"/>
    <xf numFmtId="164" fontId="18" fillId="0" borderId="20" xfId="0" applyNumberFormat="1" applyFont="1" applyBorder="1"/>
    <xf numFmtId="0" fontId="18" fillId="6" borderId="28" xfId="0" applyFont="1" applyFill="1" applyBorder="1"/>
    <xf numFmtId="0" fontId="18" fillId="6" borderId="22" xfId="0" applyFont="1" applyFill="1" applyBorder="1" applyAlignment="1">
      <alignment horizontal="center" vertical="center"/>
    </xf>
    <xf numFmtId="0" fontId="26" fillId="5" borderId="29" xfId="0" applyFont="1" applyFill="1" applyBorder="1"/>
    <xf numFmtId="0" fontId="19" fillId="5" borderId="29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164" fontId="26" fillId="5" borderId="22" xfId="0" applyNumberFormat="1" applyFont="1" applyFill="1" applyBorder="1" applyAlignment="1">
      <alignment horizontal="right" vertical="center"/>
    </xf>
    <xf numFmtId="0" fontId="18" fillId="6" borderId="31" xfId="0" applyFont="1" applyFill="1" applyBorder="1"/>
    <xf numFmtId="0" fontId="18" fillId="7" borderId="31" xfId="0" applyFont="1" applyFill="1" applyBorder="1"/>
    <xf numFmtId="0" fontId="17" fillId="0" borderId="32" xfId="0" applyFont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27" fillId="0" borderId="0" xfId="0" applyFont="1"/>
    <xf numFmtId="164" fontId="28" fillId="8" borderId="35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9" fontId="29" fillId="2" borderId="35" xfId="0" applyNumberFormat="1" applyFont="1" applyFill="1" applyBorder="1"/>
    <xf numFmtId="164" fontId="29" fillId="2" borderId="35" xfId="0" applyNumberFormat="1" applyFont="1" applyFill="1" applyBorder="1"/>
    <xf numFmtId="0" fontId="30" fillId="0" borderId="0" xfId="0" applyFont="1"/>
    <xf numFmtId="0" fontId="31" fillId="0" borderId="0" xfId="0" applyFont="1"/>
    <xf numFmtId="164" fontId="31" fillId="9" borderId="38" xfId="0" applyNumberFormat="1" applyFont="1" applyFill="1" applyBorder="1"/>
    <xf numFmtId="0" fontId="33" fillId="0" borderId="0" xfId="0" applyFont="1"/>
    <xf numFmtId="0" fontId="24" fillId="0" borderId="0" xfId="0" applyFont="1"/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34" fillId="10" borderId="0" xfId="0" applyFont="1" applyFill="1"/>
    <xf numFmtId="0" fontId="24" fillId="10" borderId="0" xfId="0" applyFont="1" applyFill="1"/>
    <xf numFmtId="0" fontId="6" fillId="0" borderId="0" xfId="0" applyFont="1"/>
    <xf numFmtId="0" fontId="6" fillId="11" borderId="5" xfId="0" applyFont="1" applyFill="1" applyBorder="1"/>
    <xf numFmtId="0" fontId="6" fillId="11" borderId="39" xfId="0" applyFont="1" applyFill="1" applyBorder="1"/>
    <xf numFmtId="0" fontId="35" fillId="11" borderId="40" xfId="0" applyFont="1" applyFill="1" applyBorder="1"/>
    <xf numFmtId="0" fontId="6" fillId="11" borderId="40" xfId="0" applyFont="1" applyFill="1" applyBorder="1"/>
    <xf numFmtId="0" fontId="6" fillId="11" borderId="41" xfId="0" applyFont="1" applyFill="1" applyBorder="1"/>
    <xf numFmtId="0" fontId="6" fillId="11" borderId="42" xfId="0" applyFont="1" applyFill="1" applyBorder="1"/>
    <xf numFmtId="0" fontId="6" fillId="11" borderId="43" xfId="0" applyFont="1" applyFill="1" applyBorder="1"/>
    <xf numFmtId="0" fontId="35" fillId="0" borderId="0" xfId="0" applyFont="1"/>
    <xf numFmtId="0" fontId="6" fillId="11" borderId="44" xfId="0" applyFont="1" applyFill="1" applyBorder="1"/>
    <xf numFmtId="0" fontId="6" fillId="11" borderId="45" xfId="0" applyFont="1" applyFill="1" applyBorder="1"/>
    <xf numFmtId="0" fontId="6" fillId="11" borderId="46" xfId="0" applyFont="1" applyFill="1" applyBorder="1"/>
    <xf numFmtId="0" fontId="34" fillId="11" borderId="5" xfId="0" applyFont="1" applyFill="1" applyBorder="1"/>
    <xf numFmtId="0" fontId="24" fillId="11" borderId="5" xfId="0" applyFont="1" applyFill="1" applyBorder="1"/>
    <xf numFmtId="0" fontId="36" fillId="11" borderId="0" xfId="0" applyFont="1" applyFill="1"/>
    <xf numFmtId="0" fontId="37" fillId="0" borderId="0" xfId="0" applyFont="1"/>
    <xf numFmtId="0" fontId="38" fillId="11" borderId="5" xfId="0" applyFont="1" applyFill="1" applyBorder="1"/>
    <xf numFmtId="0" fontId="39" fillId="0" borderId="0" xfId="0" applyFont="1"/>
    <xf numFmtId="0" fontId="38" fillId="0" borderId="0" xfId="0" applyFont="1" applyAlignment="1">
      <alignment horizontal="left"/>
    </xf>
    <xf numFmtId="164" fontId="24" fillId="0" borderId="0" xfId="0" applyNumberFormat="1" applyFont="1"/>
    <xf numFmtId="0" fontId="39" fillId="11" borderId="5" xfId="0" applyFont="1" applyFill="1" applyBorder="1"/>
    <xf numFmtId="0" fontId="40" fillId="0" borderId="0" xfId="0" applyFont="1"/>
    <xf numFmtId="0" fontId="40" fillId="11" borderId="5" xfId="0" quotePrefix="1" applyFont="1" applyFill="1" applyBorder="1"/>
    <xf numFmtId="0" fontId="24" fillId="0" borderId="4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2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4" fillId="5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9" fillId="2" borderId="33" xfId="0" applyFont="1" applyFill="1" applyBorder="1" applyAlignment="1">
      <alignment horizontal="right"/>
    </xf>
    <xf numFmtId="0" fontId="2" fillId="0" borderId="34" xfId="0" applyFont="1" applyBorder="1"/>
    <xf numFmtId="0" fontId="32" fillId="9" borderId="36" xfId="0" applyFont="1" applyFill="1" applyBorder="1" applyAlignment="1">
      <alignment horizontal="right"/>
    </xf>
    <xf numFmtId="0" fontId="2" fillId="0" borderId="37" xfId="0" applyFont="1" applyBorder="1"/>
    <xf numFmtId="0" fontId="28" fillId="8" borderId="33" xfId="0" applyFont="1" applyFill="1" applyBorder="1" applyAlignment="1">
      <alignment horizontal="right"/>
    </xf>
    <xf numFmtId="0" fontId="34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66676</xdr:rowOff>
    </xdr:from>
    <xdr:to>
      <xdr:col>3</xdr:col>
      <xdr:colOff>600075</xdr:colOff>
      <xdr:row>3</xdr:row>
      <xdr:rowOff>125684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0FA790-50BB-FBB7-0410-25936E2C2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" t="32088" r="-1735" b="30909"/>
        <a:stretch>
          <a:fillRect/>
        </a:stretch>
      </xdr:blipFill>
      <xdr:spPr>
        <a:xfrm>
          <a:off x="428625" y="66676"/>
          <a:ext cx="1781175" cy="65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79"/>
  <sheetViews>
    <sheetView showGridLines="0" topLeftCell="A57" zoomScale="130" zoomScaleNormal="130" workbookViewId="0">
      <selection activeCell="E72" sqref="E72"/>
    </sheetView>
  </sheetViews>
  <sheetFormatPr defaultColWidth="14.42578125" defaultRowHeight="15" customHeight="1" x14ac:dyDescent="0.25"/>
  <cols>
    <col min="1" max="1" width="38" customWidth="1"/>
    <col min="2" max="2" width="34.28515625" customWidth="1"/>
    <col min="3" max="3" width="20.5703125" customWidth="1"/>
    <col min="4" max="4" width="22.28515625" customWidth="1"/>
    <col min="5" max="5" width="23.7109375" customWidth="1"/>
    <col min="6" max="26" width="10.7109375" customWidth="1"/>
  </cols>
  <sheetData>
    <row r="1" spans="1:26" ht="42.75" customHeight="1" x14ac:dyDescent="0.8">
      <c r="A1" s="114" t="s">
        <v>0</v>
      </c>
      <c r="B1" s="115"/>
      <c r="C1" s="115"/>
      <c r="D1" s="115"/>
      <c r="E1" s="1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5">
      <c r="A2" s="2"/>
      <c r="B2" s="3"/>
      <c r="C2" s="4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x14ac:dyDescent="0.5">
      <c r="A3" s="7" t="s">
        <v>74</v>
      </c>
      <c r="B3" s="8"/>
      <c r="C3" s="9" t="s">
        <v>1</v>
      </c>
      <c r="D3" s="8" t="s">
        <v>2</v>
      </c>
      <c r="E3" s="9" t="s">
        <v>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1" x14ac:dyDescent="0.5">
      <c r="A4" s="7" t="s">
        <v>4</v>
      </c>
      <c r="B4" s="8"/>
      <c r="C4" s="8"/>
      <c r="D4" s="8"/>
      <c r="E4" s="8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1.75" customHeight="1" x14ac:dyDescent="0.5">
      <c r="A5" s="11" t="s">
        <v>5</v>
      </c>
      <c r="B5" s="8"/>
      <c r="C5" s="8"/>
      <c r="D5" s="8"/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6.25" customHeight="1" x14ac:dyDescent="0.5">
      <c r="A6" s="11" t="s">
        <v>76</v>
      </c>
      <c r="B6" s="12"/>
      <c r="C6" s="13"/>
      <c r="D6" s="13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2.5" customHeight="1" x14ac:dyDescent="0.5">
      <c r="A7" s="11" t="s">
        <v>75</v>
      </c>
      <c r="B7" s="12"/>
      <c r="C7" s="15"/>
      <c r="D7" s="15"/>
      <c r="E7" s="15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1.75" customHeight="1" x14ac:dyDescent="0.5">
      <c r="A8" s="11" t="s">
        <v>6</v>
      </c>
      <c r="B8" s="12"/>
      <c r="C8" s="15"/>
      <c r="D8" s="15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1" customHeight="1" x14ac:dyDescent="0.5">
      <c r="A9" s="11" t="s">
        <v>7</v>
      </c>
      <c r="B9" s="12"/>
      <c r="C9" s="15"/>
      <c r="D9" s="15"/>
      <c r="E9" s="1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5">
      <c r="B10" s="16"/>
      <c r="C10" s="17"/>
      <c r="D10" s="17"/>
      <c r="E10" s="1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55000000000000004">
      <c r="A11" s="117" t="s">
        <v>8</v>
      </c>
      <c r="B11" s="117" t="s">
        <v>9</v>
      </c>
      <c r="C11" s="117" t="s">
        <v>10</v>
      </c>
      <c r="D11" s="117" t="s">
        <v>11</v>
      </c>
      <c r="E11" s="117" t="s">
        <v>12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" customHeight="1" x14ac:dyDescent="0.55000000000000004">
      <c r="A12" s="118"/>
      <c r="B12" s="118"/>
      <c r="C12" s="118"/>
      <c r="D12" s="118"/>
      <c r="E12" s="1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" customHeight="1" x14ac:dyDescent="0.6">
      <c r="A13" s="19"/>
      <c r="B13" s="20"/>
      <c r="C13" s="21"/>
      <c r="D13" s="20"/>
      <c r="E13" s="2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1.75" customHeight="1" x14ac:dyDescent="0.6">
      <c r="A14" s="119" t="s">
        <v>13</v>
      </c>
      <c r="B14" s="120"/>
      <c r="C14" s="120"/>
      <c r="D14" s="120"/>
      <c r="E14" s="121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9.5" customHeight="1" x14ac:dyDescent="0.5">
      <c r="A15" s="24" t="s">
        <v>14</v>
      </c>
      <c r="B15" s="25"/>
      <c r="C15" s="26">
        <v>0</v>
      </c>
      <c r="D15" s="27"/>
      <c r="E15" s="28">
        <f t="shared" ref="E15:E26" si="0">IFERROR(C15*D15,"")</f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5">
      <c r="A16" s="29" t="s">
        <v>15</v>
      </c>
      <c r="B16" s="30"/>
      <c r="C16" s="31">
        <v>0</v>
      </c>
      <c r="D16" s="32"/>
      <c r="E16" s="33">
        <f t="shared" si="0"/>
        <v>0</v>
      </c>
      <c r="F16" s="6"/>
      <c r="G16" s="6"/>
      <c r="H16" s="6"/>
      <c r="I16" s="3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5">
      <c r="A17" s="35" t="s">
        <v>16</v>
      </c>
      <c r="B17" s="36"/>
      <c r="C17" s="37">
        <v>0</v>
      </c>
      <c r="D17" s="38"/>
      <c r="E17" s="39">
        <f t="shared" si="0"/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5">
      <c r="A18" s="29" t="s">
        <v>17</v>
      </c>
      <c r="B18" s="30"/>
      <c r="C18" s="31">
        <v>50</v>
      </c>
      <c r="D18" s="32">
        <v>2</v>
      </c>
      <c r="E18" s="33">
        <f t="shared" si="0"/>
        <v>100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5">
      <c r="A19" s="35" t="s">
        <v>18</v>
      </c>
      <c r="B19" s="36"/>
      <c r="C19" s="37">
        <v>0</v>
      </c>
      <c r="D19" s="38"/>
      <c r="E19" s="39">
        <f t="shared" si="0"/>
        <v>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5">
      <c r="A20" s="29" t="s">
        <v>19</v>
      </c>
      <c r="B20" s="30"/>
      <c r="C20" s="31">
        <v>150</v>
      </c>
      <c r="D20" s="32">
        <v>1</v>
      </c>
      <c r="E20" s="33">
        <f t="shared" si="0"/>
        <v>150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 x14ac:dyDescent="0.5">
      <c r="A21" s="35" t="s">
        <v>20</v>
      </c>
      <c r="B21" s="36"/>
      <c r="C21" s="37">
        <v>0</v>
      </c>
      <c r="D21" s="38"/>
      <c r="E21" s="39">
        <f t="shared" si="0"/>
        <v>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 x14ac:dyDescent="0.5">
      <c r="A22" s="29" t="s">
        <v>21</v>
      </c>
      <c r="B22" s="30"/>
      <c r="C22" s="31">
        <v>0</v>
      </c>
      <c r="D22" s="32"/>
      <c r="E22" s="33">
        <f t="shared" si="0"/>
        <v>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5">
      <c r="A23" s="35" t="s">
        <v>22</v>
      </c>
      <c r="B23" s="36"/>
      <c r="C23" s="37">
        <v>0</v>
      </c>
      <c r="D23" s="38"/>
      <c r="E23" s="39">
        <f t="shared" si="0"/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5">
      <c r="A24" s="29" t="s">
        <v>23</v>
      </c>
      <c r="B24" s="30"/>
      <c r="C24" s="31">
        <v>0</v>
      </c>
      <c r="D24" s="32"/>
      <c r="E24" s="33">
        <f t="shared" si="0"/>
        <v>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5">
      <c r="A25" s="35" t="s">
        <v>24</v>
      </c>
      <c r="B25" s="36"/>
      <c r="C25" s="37">
        <v>0</v>
      </c>
      <c r="D25" s="38"/>
      <c r="E25" s="40">
        <f t="shared" si="0"/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x14ac:dyDescent="0.5">
      <c r="A26" s="29" t="s">
        <v>25</v>
      </c>
      <c r="B26" s="30"/>
      <c r="C26" s="31">
        <v>0</v>
      </c>
      <c r="D26" s="32"/>
      <c r="E26" s="33">
        <f t="shared" si="0"/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customHeight="1" x14ac:dyDescent="0.5">
      <c r="A27" s="35"/>
      <c r="B27" s="41"/>
      <c r="C27" s="42"/>
      <c r="D27" s="43"/>
      <c r="E27" s="4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 x14ac:dyDescent="0.5">
      <c r="A28" s="29"/>
      <c r="B28" s="45"/>
      <c r="C28" s="46"/>
      <c r="D28" s="47"/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 x14ac:dyDescent="0.5">
      <c r="A29" s="50" t="s">
        <v>26</v>
      </c>
      <c r="B29" s="51"/>
      <c r="C29" s="52"/>
      <c r="D29" s="53"/>
      <c r="E29" s="54">
        <f>SUM(E15:E28)</f>
        <v>250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6.5" customHeight="1" x14ac:dyDescent="0.5">
      <c r="A30" s="49"/>
      <c r="B30" s="49"/>
      <c r="C30" s="56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 x14ac:dyDescent="0.6">
      <c r="A31" s="5"/>
      <c r="B31" s="57"/>
      <c r="C31" s="58"/>
      <c r="D31" s="57"/>
      <c r="E31" s="5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4.75" x14ac:dyDescent="0.6">
      <c r="A32" s="119" t="s">
        <v>27</v>
      </c>
      <c r="B32" s="120"/>
      <c r="C32" s="120"/>
      <c r="D32" s="120"/>
      <c r="E32" s="121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" customHeight="1" x14ac:dyDescent="0.5">
      <c r="A33" s="59" t="s">
        <v>28</v>
      </c>
      <c r="B33" s="60"/>
      <c r="C33" s="31">
        <v>0</v>
      </c>
      <c r="D33" s="32"/>
      <c r="E33" s="61">
        <f t="shared" ref="E33:E37" si="1">IFERROR(C33*D33,"")</f>
        <v>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x14ac:dyDescent="0.5">
      <c r="A34" s="62" t="s">
        <v>29</v>
      </c>
      <c r="B34" s="41"/>
      <c r="C34" s="37">
        <v>0</v>
      </c>
      <c r="D34" s="38"/>
      <c r="E34" s="63">
        <f t="shared" si="1"/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x14ac:dyDescent="0.5">
      <c r="A35" s="59" t="s">
        <v>30</v>
      </c>
      <c r="B35" s="60"/>
      <c r="C35" s="31">
        <v>0</v>
      </c>
      <c r="D35" s="32"/>
      <c r="E35" s="61">
        <f t="shared" si="1"/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 x14ac:dyDescent="0.5">
      <c r="A36" s="62" t="s">
        <v>31</v>
      </c>
      <c r="B36" s="41"/>
      <c r="C36" s="37">
        <v>0</v>
      </c>
      <c r="D36" s="38"/>
      <c r="E36" s="63">
        <f t="shared" si="1"/>
        <v>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 x14ac:dyDescent="0.5">
      <c r="A37" s="64" t="s">
        <v>25</v>
      </c>
      <c r="B37" s="45"/>
      <c r="C37" s="31">
        <v>0</v>
      </c>
      <c r="D37" s="65"/>
      <c r="E37" s="61">
        <f t="shared" si="1"/>
        <v>0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 x14ac:dyDescent="0.5">
      <c r="A38" s="66" t="s">
        <v>26</v>
      </c>
      <c r="B38" s="67"/>
      <c r="C38" s="68"/>
      <c r="D38" s="69"/>
      <c r="E38" s="70">
        <f>SUM(E33:E37)</f>
        <v>0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 x14ac:dyDescent="0.5">
      <c r="A39" s="49"/>
      <c r="B39" s="49"/>
      <c r="C39" s="56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24.75" x14ac:dyDescent="0.6">
      <c r="A40" s="119" t="s">
        <v>32</v>
      </c>
      <c r="B40" s="120"/>
      <c r="C40" s="120"/>
      <c r="D40" s="120"/>
      <c r="E40" s="12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" customHeight="1" x14ac:dyDescent="0.5">
      <c r="A41" s="71" t="s">
        <v>33</v>
      </c>
      <c r="B41" s="36"/>
      <c r="C41" s="37">
        <v>0</v>
      </c>
      <c r="D41" s="38"/>
      <c r="E41" s="63">
        <f t="shared" ref="E41:E43" si="2">IFERROR(C41*D41,"")</f>
        <v>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 x14ac:dyDescent="0.5">
      <c r="A42" s="72" t="s">
        <v>34</v>
      </c>
      <c r="B42" s="30"/>
      <c r="C42" s="31">
        <v>0</v>
      </c>
      <c r="D42" s="32"/>
      <c r="E42" s="61">
        <f t="shared" si="2"/>
        <v>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 x14ac:dyDescent="0.5">
      <c r="A43" s="71" t="s">
        <v>35</v>
      </c>
      <c r="B43" s="73"/>
      <c r="C43" s="37">
        <v>0</v>
      </c>
      <c r="D43" s="38"/>
      <c r="E43" s="63">
        <f t="shared" si="2"/>
        <v>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5">
      <c r="A44" s="66" t="s">
        <v>26</v>
      </c>
      <c r="B44" s="67"/>
      <c r="C44" s="68"/>
      <c r="D44" s="69"/>
      <c r="E44" s="70">
        <f>SUM(E41:E43)</f>
        <v>0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 x14ac:dyDescent="0.5">
      <c r="A45" s="49"/>
      <c r="B45" s="49"/>
      <c r="C45" s="56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24.75" x14ac:dyDescent="0.6">
      <c r="A46" s="119" t="s">
        <v>36</v>
      </c>
      <c r="B46" s="120"/>
      <c r="C46" s="120"/>
      <c r="D46" s="120"/>
      <c r="E46" s="12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" customHeight="1" x14ac:dyDescent="0.5">
      <c r="A47" s="59" t="s">
        <v>37</v>
      </c>
      <c r="B47" s="36"/>
      <c r="C47" s="37">
        <v>150</v>
      </c>
      <c r="D47" s="38">
        <v>1</v>
      </c>
      <c r="E47" s="63">
        <f t="shared" ref="E47:E53" si="3">IFERROR(C47*D47,"")</f>
        <v>150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 x14ac:dyDescent="0.5">
      <c r="A48" s="62" t="s">
        <v>38</v>
      </c>
      <c r="B48" s="30"/>
      <c r="C48" s="31">
        <v>0</v>
      </c>
      <c r="D48" s="32"/>
      <c r="E48" s="61">
        <f t="shared" si="3"/>
        <v>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 x14ac:dyDescent="0.5">
      <c r="A49" s="59" t="s">
        <v>39</v>
      </c>
      <c r="B49" s="36"/>
      <c r="C49" s="37">
        <v>0</v>
      </c>
      <c r="D49" s="38"/>
      <c r="E49" s="63">
        <f t="shared" si="3"/>
        <v>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 x14ac:dyDescent="0.5">
      <c r="A50" s="62" t="s">
        <v>40</v>
      </c>
      <c r="B50" s="30"/>
      <c r="C50" s="31">
        <v>0</v>
      </c>
      <c r="D50" s="32"/>
      <c r="E50" s="61">
        <f t="shared" si="3"/>
        <v>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 x14ac:dyDescent="0.5">
      <c r="A51" s="59" t="s">
        <v>41</v>
      </c>
      <c r="B51" s="36"/>
      <c r="C51" s="37">
        <v>0</v>
      </c>
      <c r="D51" s="38"/>
      <c r="E51" s="63">
        <f t="shared" si="3"/>
        <v>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 x14ac:dyDescent="0.5">
      <c r="A52" s="62" t="s">
        <v>42</v>
      </c>
      <c r="B52" s="30"/>
      <c r="C52" s="31">
        <v>0</v>
      </c>
      <c r="D52" s="32"/>
      <c r="E52" s="61">
        <f t="shared" si="3"/>
        <v>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 x14ac:dyDescent="0.5">
      <c r="A53" s="59" t="s">
        <v>25</v>
      </c>
      <c r="B53" s="73"/>
      <c r="C53" s="37">
        <v>0</v>
      </c>
      <c r="D53" s="38"/>
      <c r="E53" s="63">
        <f t="shared" si="3"/>
        <v>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5">
      <c r="A54" s="66" t="s">
        <v>26</v>
      </c>
      <c r="B54" s="67"/>
      <c r="C54" s="68"/>
      <c r="D54" s="69"/>
      <c r="E54" s="70">
        <f>SUM(E47:E53)</f>
        <v>150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 x14ac:dyDescent="0.5">
      <c r="A55" s="49"/>
      <c r="B55" s="49"/>
      <c r="C55" s="56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24.75" x14ac:dyDescent="0.6">
      <c r="A56" s="119" t="s">
        <v>43</v>
      </c>
      <c r="B56" s="120"/>
      <c r="C56" s="120"/>
      <c r="D56" s="120"/>
      <c r="E56" s="121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" customHeight="1" x14ac:dyDescent="0.5">
      <c r="A57" s="59" t="s">
        <v>44</v>
      </c>
      <c r="B57" s="36"/>
      <c r="C57" s="37">
        <v>50</v>
      </c>
      <c r="D57" s="38">
        <v>1</v>
      </c>
      <c r="E57" s="63">
        <f t="shared" ref="E57:E60" si="4">IFERROR(C57*D57,"")</f>
        <v>50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 x14ac:dyDescent="0.5">
      <c r="A58" s="62" t="s">
        <v>45</v>
      </c>
      <c r="B58" s="30"/>
      <c r="C58" s="31">
        <v>100</v>
      </c>
      <c r="D58" s="32">
        <v>1</v>
      </c>
      <c r="E58" s="61">
        <f t="shared" si="4"/>
        <v>100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 x14ac:dyDescent="0.5">
      <c r="A59" s="59" t="s">
        <v>46</v>
      </c>
      <c r="B59" s="36"/>
      <c r="C59" s="37">
        <v>0</v>
      </c>
      <c r="D59" s="38"/>
      <c r="E59" s="63">
        <f t="shared" si="4"/>
        <v>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 x14ac:dyDescent="0.5">
      <c r="A60" s="62" t="s">
        <v>47</v>
      </c>
      <c r="B60" s="74"/>
      <c r="C60" s="31">
        <v>0</v>
      </c>
      <c r="D60" s="32"/>
      <c r="E60" s="61">
        <f t="shared" si="4"/>
        <v>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5">
      <c r="A61" s="66" t="s">
        <v>26</v>
      </c>
      <c r="B61" s="67"/>
      <c r="C61" s="68"/>
      <c r="D61" s="69"/>
      <c r="E61" s="70">
        <f>SUM(E57:E60)</f>
        <v>150</v>
      </c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 x14ac:dyDescent="0.5">
      <c r="A62" s="49"/>
      <c r="B62" s="49"/>
      <c r="C62" s="56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24.75" x14ac:dyDescent="0.6">
      <c r="A63" s="119" t="s">
        <v>48</v>
      </c>
      <c r="B63" s="120"/>
      <c r="C63" s="120"/>
      <c r="D63" s="120"/>
      <c r="E63" s="120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" customHeight="1" x14ac:dyDescent="0.5">
      <c r="A64" s="59" t="s">
        <v>49</v>
      </c>
      <c r="B64" s="36"/>
      <c r="C64" s="37">
        <v>0</v>
      </c>
      <c r="D64" s="38"/>
      <c r="E64" s="63">
        <f t="shared" ref="E64:E67" si="5">IFERROR(C64*D64,"")</f>
        <v>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customHeight="1" x14ac:dyDescent="0.5">
      <c r="A65" s="62" t="s">
        <v>50</v>
      </c>
      <c r="B65" s="30"/>
      <c r="C65" s="31">
        <v>0</v>
      </c>
      <c r="D65" s="32"/>
      <c r="E65" s="61">
        <f t="shared" si="5"/>
        <v>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customHeight="1" x14ac:dyDescent="0.5">
      <c r="A66" s="59" t="s">
        <v>51</v>
      </c>
      <c r="B66" s="36"/>
      <c r="C66" s="37">
        <v>0</v>
      </c>
      <c r="D66" s="38"/>
      <c r="E66" s="63">
        <f t="shared" si="5"/>
        <v>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customHeight="1" x14ac:dyDescent="0.5">
      <c r="A67" s="62" t="s">
        <v>25</v>
      </c>
      <c r="B67" s="74"/>
      <c r="C67" s="31">
        <v>0</v>
      </c>
      <c r="D67" s="32"/>
      <c r="E67" s="61">
        <f t="shared" si="5"/>
        <v>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5">
      <c r="A68" s="66" t="s">
        <v>26</v>
      </c>
      <c r="B68" s="67"/>
      <c r="C68" s="68"/>
      <c r="D68" s="69"/>
      <c r="E68" s="70">
        <f>SUM(E64:E67)</f>
        <v>0</v>
      </c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 x14ac:dyDescent="0.5">
      <c r="A69" s="49"/>
      <c r="B69" s="49"/>
      <c r="C69" s="56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 x14ac:dyDescent="0.5">
      <c r="A70" s="75"/>
      <c r="B70" s="75"/>
      <c r="C70" s="126" t="s">
        <v>52</v>
      </c>
      <c r="D70" s="123"/>
      <c r="E70" s="76">
        <f>SUM(E68+E61+E54+E44+E38+E29)</f>
        <v>550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5">
      <c r="A71" s="6"/>
      <c r="B71" s="6"/>
      <c r="C71" s="77"/>
      <c r="D71" s="78"/>
      <c r="E71" s="7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5">
      <c r="A72" s="75"/>
      <c r="B72" s="75"/>
      <c r="C72" s="122" t="s">
        <v>53</v>
      </c>
      <c r="D72" s="123"/>
      <c r="E72" s="79">
        <v>0.1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5">
      <c r="A73" s="6"/>
      <c r="B73" s="6"/>
      <c r="C73" s="77"/>
      <c r="D73" s="78"/>
      <c r="E73" s="7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5">
      <c r="A74" s="75"/>
      <c r="B74" s="75"/>
      <c r="C74" s="122" t="s">
        <v>54</v>
      </c>
      <c r="D74" s="123"/>
      <c r="E74" s="80">
        <f>E70 * (1 + E72)</f>
        <v>605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5">
      <c r="A75" s="6"/>
      <c r="B75" s="6"/>
      <c r="C75" s="77"/>
      <c r="D75" s="78"/>
      <c r="E75" s="81">
        <v>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5">
      <c r="A76" s="75"/>
      <c r="B76" s="75"/>
      <c r="C76" s="122" t="s">
        <v>55</v>
      </c>
      <c r="D76" s="123"/>
      <c r="E76" s="79">
        <v>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5">
      <c r="A77" s="6"/>
      <c r="B77" s="6"/>
      <c r="C77" s="77"/>
      <c r="D77" s="7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6">
      <c r="A78" s="82"/>
      <c r="B78" s="82"/>
      <c r="C78" s="124" t="s">
        <v>56</v>
      </c>
      <c r="D78" s="125"/>
      <c r="E78" s="83">
        <f>E74 * (1 + E76)</f>
        <v>1210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5">
      <c r="A79" s="49"/>
      <c r="B79" s="49"/>
      <c r="C79" s="56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 x14ac:dyDescent="0.5">
      <c r="A80" s="49"/>
      <c r="B80" s="49"/>
      <c r="C80" s="56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 x14ac:dyDescent="0.5">
      <c r="A81" s="49"/>
      <c r="B81" s="49"/>
      <c r="C81" s="56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 x14ac:dyDescent="0.5">
      <c r="A82" s="49"/>
      <c r="B82" s="49"/>
      <c r="C82" s="56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 x14ac:dyDescent="0.5">
      <c r="A83" s="49"/>
      <c r="B83" s="49"/>
      <c r="C83" s="56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 x14ac:dyDescent="0.5">
      <c r="A84" s="49"/>
      <c r="B84" s="49"/>
      <c r="C84" s="56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 x14ac:dyDescent="0.5">
      <c r="A85" s="49"/>
      <c r="B85" s="49"/>
      <c r="C85" s="56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 x14ac:dyDescent="0.5">
      <c r="A86" s="49"/>
      <c r="B86" s="49"/>
      <c r="C86" s="56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 x14ac:dyDescent="0.5">
      <c r="A87" s="49"/>
      <c r="B87" s="49"/>
      <c r="C87" s="56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 x14ac:dyDescent="0.5">
      <c r="A88" s="49"/>
      <c r="B88" s="49"/>
      <c r="C88" s="56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 x14ac:dyDescent="0.5">
      <c r="A89" s="49"/>
      <c r="B89" s="49"/>
      <c r="C89" s="56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 x14ac:dyDescent="0.5">
      <c r="A90" s="49"/>
      <c r="B90" s="49"/>
      <c r="C90" s="56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 x14ac:dyDescent="0.5">
      <c r="A91" s="49"/>
      <c r="B91" s="49"/>
      <c r="C91" s="56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 x14ac:dyDescent="0.5">
      <c r="A92" s="49"/>
      <c r="B92" s="49"/>
      <c r="C92" s="56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 x14ac:dyDescent="0.5">
      <c r="A93" s="49"/>
      <c r="B93" s="49"/>
      <c r="C93" s="56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 x14ac:dyDescent="0.5">
      <c r="A94" s="49"/>
      <c r="B94" s="49"/>
      <c r="C94" s="56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 x14ac:dyDescent="0.5">
      <c r="A95" s="49"/>
      <c r="B95" s="49"/>
      <c r="C95" s="56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 x14ac:dyDescent="0.5">
      <c r="A96" s="49"/>
      <c r="B96" s="49"/>
      <c r="C96" s="56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 x14ac:dyDescent="0.5">
      <c r="A97" s="49"/>
      <c r="B97" s="49"/>
      <c r="C97" s="56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 x14ac:dyDescent="0.5">
      <c r="A98" s="49"/>
      <c r="B98" s="49"/>
      <c r="C98" s="56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 x14ac:dyDescent="0.5">
      <c r="A99" s="49"/>
      <c r="B99" s="49"/>
      <c r="C99" s="56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 x14ac:dyDescent="0.5">
      <c r="A100" s="49"/>
      <c r="B100" s="49"/>
      <c r="C100" s="56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 x14ac:dyDescent="0.5">
      <c r="A101" s="49"/>
      <c r="B101" s="49"/>
      <c r="C101" s="56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 x14ac:dyDescent="0.5">
      <c r="A102" s="49"/>
      <c r="B102" s="49"/>
      <c r="C102" s="56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 x14ac:dyDescent="0.5">
      <c r="A103" s="49"/>
      <c r="B103" s="49"/>
      <c r="C103" s="56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 x14ac:dyDescent="0.5">
      <c r="A104" s="49"/>
      <c r="B104" s="49"/>
      <c r="C104" s="56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 x14ac:dyDescent="0.5">
      <c r="A105" s="49"/>
      <c r="B105" s="49"/>
      <c r="C105" s="56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 x14ac:dyDescent="0.5">
      <c r="A106" s="49"/>
      <c r="B106" s="49"/>
      <c r="C106" s="56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 x14ac:dyDescent="0.5">
      <c r="A107" s="49"/>
      <c r="B107" s="49"/>
      <c r="C107" s="56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 x14ac:dyDescent="0.5">
      <c r="A108" s="49"/>
      <c r="B108" s="49"/>
      <c r="C108" s="56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 x14ac:dyDescent="0.5">
      <c r="A109" s="49"/>
      <c r="B109" s="49"/>
      <c r="C109" s="56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 x14ac:dyDescent="0.5">
      <c r="A110" s="49"/>
      <c r="B110" s="49"/>
      <c r="C110" s="56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 x14ac:dyDescent="0.5">
      <c r="A111" s="49"/>
      <c r="B111" s="49"/>
      <c r="C111" s="56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 x14ac:dyDescent="0.5">
      <c r="A112" s="49"/>
      <c r="B112" s="49"/>
      <c r="C112" s="56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 x14ac:dyDescent="0.5">
      <c r="A113" s="49"/>
      <c r="B113" s="49"/>
      <c r="C113" s="56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 x14ac:dyDescent="0.5">
      <c r="A114" s="49"/>
      <c r="B114" s="49"/>
      <c r="C114" s="56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 x14ac:dyDescent="0.5">
      <c r="A115" s="49"/>
      <c r="B115" s="49"/>
      <c r="C115" s="56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 x14ac:dyDescent="0.5">
      <c r="A116" s="49"/>
      <c r="B116" s="49"/>
      <c r="C116" s="56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 x14ac:dyDescent="0.5">
      <c r="A117" s="49"/>
      <c r="B117" s="49"/>
      <c r="C117" s="56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 x14ac:dyDescent="0.5">
      <c r="A118" s="49"/>
      <c r="B118" s="49"/>
      <c r="C118" s="56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 x14ac:dyDescent="0.5">
      <c r="A119" s="49"/>
      <c r="B119" s="49"/>
      <c r="C119" s="56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 x14ac:dyDescent="0.5">
      <c r="A120" s="49"/>
      <c r="B120" s="49"/>
      <c r="C120" s="56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 x14ac:dyDescent="0.5">
      <c r="A121" s="49"/>
      <c r="B121" s="49"/>
      <c r="C121" s="56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 x14ac:dyDescent="0.5">
      <c r="A122" s="49"/>
      <c r="B122" s="49"/>
      <c r="C122" s="56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 x14ac:dyDescent="0.5">
      <c r="A123" s="49"/>
      <c r="B123" s="49"/>
      <c r="C123" s="56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 x14ac:dyDescent="0.5">
      <c r="A124" s="49"/>
      <c r="B124" s="49"/>
      <c r="C124" s="56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 x14ac:dyDescent="0.5">
      <c r="A125" s="49"/>
      <c r="B125" s="49"/>
      <c r="C125" s="56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 x14ac:dyDescent="0.5">
      <c r="A126" s="49"/>
      <c r="B126" s="49"/>
      <c r="C126" s="56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 x14ac:dyDescent="0.5">
      <c r="A127" s="49"/>
      <c r="B127" s="49"/>
      <c r="C127" s="56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 x14ac:dyDescent="0.5">
      <c r="A128" s="49"/>
      <c r="B128" s="49"/>
      <c r="C128" s="56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 x14ac:dyDescent="0.5">
      <c r="A129" s="49"/>
      <c r="B129" s="49"/>
      <c r="C129" s="56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 x14ac:dyDescent="0.5">
      <c r="A130" s="49"/>
      <c r="B130" s="49"/>
      <c r="C130" s="56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 x14ac:dyDescent="0.5">
      <c r="A131" s="49"/>
      <c r="B131" s="49"/>
      <c r="C131" s="56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 x14ac:dyDescent="0.5">
      <c r="A132" s="49"/>
      <c r="B132" s="49"/>
      <c r="C132" s="56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 x14ac:dyDescent="0.5">
      <c r="A133" s="49"/>
      <c r="B133" s="49"/>
      <c r="C133" s="56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 x14ac:dyDescent="0.5">
      <c r="A134" s="49"/>
      <c r="B134" s="49"/>
      <c r="C134" s="56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 x14ac:dyDescent="0.5">
      <c r="A135" s="49"/>
      <c r="B135" s="49"/>
      <c r="C135" s="56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 x14ac:dyDescent="0.5">
      <c r="A136" s="49"/>
      <c r="B136" s="49"/>
      <c r="C136" s="56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 x14ac:dyDescent="0.5">
      <c r="A137" s="49"/>
      <c r="B137" s="49"/>
      <c r="C137" s="56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 x14ac:dyDescent="0.5">
      <c r="A138" s="49"/>
      <c r="B138" s="49"/>
      <c r="C138" s="56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 x14ac:dyDescent="0.5">
      <c r="A139" s="49"/>
      <c r="B139" s="49"/>
      <c r="C139" s="56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 x14ac:dyDescent="0.5">
      <c r="A140" s="49"/>
      <c r="B140" s="49"/>
      <c r="C140" s="56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 x14ac:dyDescent="0.5">
      <c r="A141" s="49"/>
      <c r="B141" s="49"/>
      <c r="C141" s="56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 x14ac:dyDescent="0.5">
      <c r="A142" s="49"/>
      <c r="B142" s="49"/>
      <c r="C142" s="56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 x14ac:dyDescent="0.5">
      <c r="A143" s="49"/>
      <c r="B143" s="49"/>
      <c r="C143" s="56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 x14ac:dyDescent="0.5">
      <c r="A144" s="49"/>
      <c r="B144" s="49"/>
      <c r="C144" s="56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 x14ac:dyDescent="0.5">
      <c r="A145" s="49"/>
      <c r="B145" s="49"/>
      <c r="C145" s="56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 x14ac:dyDescent="0.5">
      <c r="A146" s="49"/>
      <c r="B146" s="49"/>
      <c r="C146" s="56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 x14ac:dyDescent="0.5">
      <c r="A147" s="49"/>
      <c r="B147" s="49"/>
      <c r="C147" s="56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 x14ac:dyDescent="0.5">
      <c r="A148" s="49"/>
      <c r="B148" s="49"/>
      <c r="C148" s="56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 x14ac:dyDescent="0.5">
      <c r="A149" s="49"/>
      <c r="B149" s="49"/>
      <c r="C149" s="56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 x14ac:dyDescent="0.5">
      <c r="A150" s="49"/>
      <c r="B150" s="49"/>
      <c r="C150" s="56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 x14ac:dyDescent="0.5">
      <c r="A151" s="49"/>
      <c r="B151" s="49"/>
      <c r="C151" s="56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 x14ac:dyDescent="0.5">
      <c r="A152" s="49"/>
      <c r="B152" s="49"/>
      <c r="C152" s="56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 x14ac:dyDescent="0.5">
      <c r="A153" s="49"/>
      <c r="B153" s="49"/>
      <c r="C153" s="56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 x14ac:dyDescent="0.5">
      <c r="A154" s="49"/>
      <c r="B154" s="49"/>
      <c r="C154" s="56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 x14ac:dyDescent="0.5">
      <c r="A155" s="49"/>
      <c r="B155" s="49"/>
      <c r="C155" s="56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 x14ac:dyDescent="0.5">
      <c r="A156" s="49"/>
      <c r="B156" s="49"/>
      <c r="C156" s="56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 x14ac:dyDescent="0.5">
      <c r="A157" s="49"/>
      <c r="B157" s="49"/>
      <c r="C157" s="56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 x14ac:dyDescent="0.5">
      <c r="A158" s="49"/>
      <c r="B158" s="49"/>
      <c r="C158" s="56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 x14ac:dyDescent="0.5">
      <c r="A159" s="49"/>
      <c r="B159" s="49"/>
      <c r="C159" s="56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 x14ac:dyDescent="0.5">
      <c r="A160" s="49"/>
      <c r="B160" s="49"/>
      <c r="C160" s="56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 x14ac:dyDescent="0.5">
      <c r="A161" s="49"/>
      <c r="B161" s="49"/>
      <c r="C161" s="56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 x14ac:dyDescent="0.5">
      <c r="A162" s="49"/>
      <c r="B162" s="49"/>
      <c r="C162" s="56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 x14ac:dyDescent="0.5">
      <c r="A163" s="49"/>
      <c r="B163" s="49"/>
      <c r="C163" s="56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 x14ac:dyDescent="0.5">
      <c r="A164" s="49"/>
      <c r="B164" s="49"/>
      <c r="C164" s="56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 x14ac:dyDescent="0.5">
      <c r="A165" s="49"/>
      <c r="B165" s="49"/>
      <c r="C165" s="56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 x14ac:dyDescent="0.5">
      <c r="A166" s="49"/>
      <c r="B166" s="49"/>
      <c r="C166" s="56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 x14ac:dyDescent="0.5">
      <c r="A167" s="49"/>
      <c r="B167" s="49"/>
      <c r="C167" s="56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 x14ac:dyDescent="0.5">
      <c r="A168" s="49"/>
      <c r="B168" s="49"/>
      <c r="C168" s="56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 x14ac:dyDescent="0.5">
      <c r="A169" s="49"/>
      <c r="B169" s="49"/>
      <c r="C169" s="56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 x14ac:dyDescent="0.5">
      <c r="A170" s="49"/>
      <c r="B170" s="49"/>
      <c r="C170" s="5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 x14ac:dyDescent="0.5">
      <c r="A171" s="49"/>
      <c r="B171" s="49"/>
      <c r="C171" s="56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 x14ac:dyDescent="0.5">
      <c r="A172" s="49"/>
      <c r="B172" s="49"/>
      <c r="C172" s="56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 x14ac:dyDescent="0.5">
      <c r="A173" s="49"/>
      <c r="B173" s="49"/>
      <c r="C173" s="56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 x14ac:dyDescent="0.5">
      <c r="A174" s="49"/>
      <c r="B174" s="49"/>
      <c r="C174" s="5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 x14ac:dyDescent="0.5">
      <c r="A175" s="49"/>
      <c r="B175" s="49"/>
      <c r="C175" s="56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 x14ac:dyDescent="0.5">
      <c r="A176" s="49"/>
      <c r="B176" s="49"/>
      <c r="C176" s="56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 x14ac:dyDescent="0.5">
      <c r="A177" s="49"/>
      <c r="B177" s="49"/>
      <c r="C177" s="56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 x14ac:dyDescent="0.5">
      <c r="A178" s="49"/>
      <c r="B178" s="49"/>
      <c r="C178" s="5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 x14ac:dyDescent="0.5">
      <c r="A179" s="49"/>
      <c r="B179" s="49"/>
      <c r="C179" s="56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 x14ac:dyDescent="0.5">
      <c r="A180" s="49"/>
      <c r="B180" s="49"/>
      <c r="C180" s="56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5">
      <c r="A181" s="49"/>
      <c r="B181" s="49"/>
      <c r="C181" s="56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5">
      <c r="A182" s="49"/>
      <c r="B182" s="49"/>
      <c r="C182" s="5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5">
      <c r="A183" s="49"/>
      <c r="B183" s="49"/>
      <c r="C183" s="56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5">
      <c r="A184" s="49"/>
      <c r="B184" s="49"/>
      <c r="C184" s="56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5">
      <c r="A185" s="49"/>
      <c r="B185" s="49"/>
      <c r="C185" s="56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5">
      <c r="A186" s="49"/>
      <c r="B186" s="49"/>
      <c r="C186" s="5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5">
      <c r="A187" s="49"/>
      <c r="B187" s="49"/>
      <c r="C187" s="56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5">
      <c r="A188" s="49"/>
      <c r="B188" s="49"/>
      <c r="C188" s="56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5">
      <c r="A189" s="49"/>
      <c r="B189" s="49"/>
      <c r="C189" s="56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5">
      <c r="A190" s="49"/>
      <c r="B190" s="49"/>
      <c r="C190" s="5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5">
      <c r="A191" s="49"/>
      <c r="B191" s="49"/>
      <c r="C191" s="56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5">
      <c r="A192" s="49"/>
      <c r="B192" s="49"/>
      <c r="C192" s="56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5">
      <c r="A193" s="49"/>
      <c r="B193" s="49"/>
      <c r="C193" s="56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5">
      <c r="A194" s="49"/>
      <c r="B194" s="49"/>
      <c r="C194" s="5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5">
      <c r="A195" s="49"/>
      <c r="B195" s="49"/>
      <c r="C195" s="56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5">
      <c r="A196" s="49"/>
      <c r="B196" s="49"/>
      <c r="C196" s="56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5">
      <c r="A197" s="49"/>
      <c r="B197" s="49"/>
      <c r="C197" s="56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5">
      <c r="A198" s="49"/>
      <c r="B198" s="49"/>
      <c r="C198" s="5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5">
      <c r="A199" s="49"/>
      <c r="B199" s="49"/>
      <c r="C199" s="56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5">
      <c r="A200" s="49"/>
      <c r="B200" s="49"/>
      <c r="C200" s="56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5">
      <c r="A201" s="49"/>
      <c r="B201" s="49"/>
      <c r="C201" s="56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5">
      <c r="A202" s="49"/>
      <c r="B202" s="49"/>
      <c r="C202" s="5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5">
      <c r="A203" s="49"/>
      <c r="B203" s="49"/>
      <c r="C203" s="56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5">
      <c r="A204" s="49"/>
      <c r="B204" s="49"/>
      <c r="C204" s="56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5">
      <c r="A205" s="49"/>
      <c r="B205" s="49"/>
      <c r="C205" s="56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5">
      <c r="A206" s="49"/>
      <c r="B206" s="49"/>
      <c r="C206" s="5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5">
      <c r="A207" s="49"/>
      <c r="B207" s="49"/>
      <c r="C207" s="56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5">
      <c r="A208" s="49"/>
      <c r="B208" s="49"/>
      <c r="C208" s="56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5">
      <c r="A209" s="49"/>
      <c r="B209" s="49"/>
      <c r="C209" s="56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5">
      <c r="A210" s="49"/>
      <c r="B210" s="49"/>
      <c r="C210" s="5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5">
      <c r="A211" s="49"/>
      <c r="B211" s="49"/>
      <c r="C211" s="56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5">
      <c r="A212" s="49"/>
      <c r="B212" s="49"/>
      <c r="C212" s="56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5">
      <c r="A213" s="49"/>
      <c r="B213" s="49"/>
      <c r="C213" s="56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5">
      <c r="A214" s="49"/>
      <c r="B214" s="49"/>
      <c r="C214" s="5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5">
      <c r="A215" s="49"/>
      <c r="B215" s="49"/>
      <c r="C215" s="56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5">
      <c r="A216" s="49"/>
      <c r="B216" s="49"/>
      <c r="C216" s="56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5">
      <c r="A217" s="49"/>
      <c r="B217" s="49"/>
      <c r="C217" s="56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5">
      <c r="A218" s="49"/>
      <c r="B218" s="49"/>
      <c r="C218" s="5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5">
      <c r="A219" s="49"/>
      <c r="B219" s="49"/>
      <c r="C219" s="56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5">
      <c r="A220" s="49"/>
      <c r="B220" s="49"/>
      <c r="C220" s="56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5">
      <c r="A221" s="49"/>
      <c r="B221" s="49"/>
      <c r="C221" s="56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5">
      <c r="A222" s="49"/>
      <c r="B222" s="49"/>
      <c r="C222" s="5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5">
      <c r="A223" s="49"/>
      <c r="B223" s="49"/>
      <c r="C223" s="56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5">
      <c r="A224" s="49"/>
      <c r="B224" s="49"/>
      <c r="C224" s="56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5">
      <c r="A225" s="49"/>
      <c r="B225" s="49"/>
      <c r="C225" s="56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5">
      <c r="A226" s="49"/>
      <c r="B226" s="49"/>
      <c r="C226" s="5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5">
      <c r="A227" s="49"/>
      <c r="B227" s="49"/>
      <c r="C227" s="56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5">
      <c r="A228" s="49"/>
      <c r="B228" s="49"/>
      <c r="C228" s="56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5">
      <c r="A229" s="49"/>
      <c r="B229" s="49"/>
      <c r="C229" s="56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5">
      <c r="A230" s="49"/>
      <c r="B230" s="49"/>
      <c r="C230" s="5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5">
      <c r="A231" s="49"/>
      <c r="B231" s="49"/>
      <c r="C231" s="56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5">
      <c r="A232" s="49"/>
      <c r="B232" s="49"/>
      <c r="C232" s="56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5">
      <c r="A233" s="49"/>
      <c r="B233" s="49"/>
      <c r="C233" s="56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5">
      <c r="A234" s="49"/>
      <c r="B234" s="49"/>
      <c r="C234" s="5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5">
      <c r="A235" s="49"/>
      <c r="B235" s="49"/>
      <c r="C235" s="56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5">
      <c r="A236" s="49"/>
      <c r="B236" s="49"/>
      <c r="C236" s="56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5">
      <c r="A237" s="49"/>
      <c r="B237" s="49"/>
      <c r="C237" s="56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5">
      <c r="A238" s="49"/>
      <c r="B238" s="49"/>
      <c r="C238" s="5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5">
      <c r="A239" s="49"/>
      <c r="B239" s="49"/>
      <c r="C239" s="56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5">
      <c r="A240" s="49"/>
      <c r="B240" s="49"/>
      <c r="C240" s="56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5">
      <c r="A241" s="49"/>
      <c r="B241" s="49"/>
      <c r="C241" s="56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5">
      <c r="A242" s="49"/>
      <c r="B242" s="49"/>
      <c r="C242" s="5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5">
      <c r="A243" s="49"/>
      <c r="B243" s="49"/>
      <c r="C243" s="56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5">
      <c r="A244" s="49"/>
      <c r="B244" s="49"/>
      <c r="C244" s="56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5">
      <c r="A245" s="49"/>
      <c r="B245" s="49"/>
      <c r="C245" s="56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5">
      <c r="A246" s="49"/>
      <c r="B246" s="49"/>
      <c r="C246" s="5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5">
      <c r="A247" s="49"/>
      <c r="B247" s="49"/>
      <c r="C247" s="56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5">
      <c r="A248" s="49"/>
      <c r="B248" s="49"/>
      <c r="C248" s="56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5">
      <c r="A249" s="49"/>
      <c r="B249" s="49"/>
      <c r="C249" s="56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5">
      <c r="A250" s="49"/>
      <c r="B250" s="49"/>
      <c r="C250" s="5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5">
      <c r="A251" s="49"/>
      <c r="B251" s="49"/>
      <c r="C251" s="56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5">
      <c r="A252" s="49"/>
      <c r="B252" s="49"/>
      <c r="C252" s="56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5">
      <c r="A253" s="49"/>
      <c r="B253" s="49"/>
      <c r="C253" s="56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5">
      <c r="A254" s="49"/>
      <c r="B254" s="49"/>
      <c r="C254" s="5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5">
      <c r="A255" s="49"/>
      <c r="B255" s="49"/>
      <c r="C255" s="56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5">
      <c r="A256" s="49"/>
      <c r="B256" s="49"/>
      <c r="C256" s="56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5">
      <c r="A257" s="49"/>
      <c r="B257" s="49"/>
      <c r="C257" s="56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5">
      <c r="A258" s="49"/>
      <c r="B258" s="49"/>
      <c r="C258" s="5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5">
      <c r="A259" s="49"/>
      <c r="B259" s="49"/>
      <c r="C259" s="56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5">
      <c r="A260" s="49"/>
      <c r="B260" s="49"/>
      <c r="C260" s="56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5">
      <c r="A261" s="49"/>
      <c r="B261" s="49"/>
      <c r="C261" s="56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5">
      <c r="A262" s="49"/>
      <c r="B262" s="49"/>
      <c r="C262" s="5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5">
      <c r="A263" s="49"/>
      <c r="B263" s="49"/>
      <c r="C263" s="56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5">
      <c r="A264" s="49"/>
      <c r="B264" s="49"/>
      <c r="C264" s="56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5">
      <c r="A265" s="49"/>
      <c r="B265" s="49"/>
      <c r="C265" s="56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5">
      <c r="A266" s="49"/>
      <c r="B266" s="49"/>
      <c r="C266" s="5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5">
      <c r="A267" s="49"/>
      <c r="B267" s="49"/>
      <c r="C267" s="56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5">
      <c r="A268" s="49"/>
      <c r="B268" s="49"/>
      <c r="C268" s="56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5">
      <c r="A269" s="49"/>
      <c r="B269" s="49"/>
      <c r="C269" s="56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5">
      <c r="A270" s="49"/>
      <c r="B270" s="49"/>
      <c r="C270" s="5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5">
      <c r="A271" s="49"/>
      <c r="B271" s="49"/>
      <c r="C271" s="56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5">
      <c r="A272" s="49"/>
      <c r="B272" s="49"/>
      <c r="C272" s="56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5">
      <c r="A273" s="49"/>
      <c r="B273" s="49"/>
      <c r="C273" s="56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5">
      <c r="A274" s="49"/>
      <c r="B274" s="49"/>
      <c r="C274" s="5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5">
      <c r="A275" s="49"/>
      <c r="B275" s="49"/>
      <c r="C275" s="56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5">
      <c r="A276" s="49"/>
      <c r="B276" s="49"/>
      <c r="C276" s="56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5">
      <c r="A277" s="49"/>
      <c r="B277" s="49"/>
      <c r="C277" s="56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5">
      <c r="A278" s="49"/>
      <c r="B278" s="49"/>
      <c r="C278" s="5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5">
      <c r="A279" s="49"/>
      <c r="B279" s="49"/>
      <c r="C279" s="56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5">
      <c r="A280" s="49"/>
      <c r="B280" s="49"/>
      <c r="C280" s="56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5">
      <c r="A281" s="49"/>
      <c r="B281" s="49"/>
      <c r="C281" s="56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5">
      <c r="A282" s="49"/>
      <c r="B282" s="49"/>
      <c r="C282" s="5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5">
      <c r="A283" s="49"/>
      <c r="B283" s="49"/>
      <c r="C283" s="56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5">
      <c r="A284" s="49"/>
      <c r="B284" s="49"/>
      <c r="C284" s="56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5">
      <c r="A285" s="49"/>
      <c r="B285" s="49"/>
      <c r="C285" s="56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5">
      <c r="A286" s="49"/>
      <c r="B286" s="49"/>
      <c r="C286" s="5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5">
      <c r="A287" s="49"/>
      <c r="B287" s="49"/>
      <c r="C287" s="56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5">
      <c r="A288" s="49"/>
      <c r="B288" s="49"/>
      <c r="C288" s="56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5">
      <c r="A289" s="49"/>
      <c r="B289" s="49"/>
      <c r="C289" s="56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5">
      <c r="A290" s="49"/>
      <c r="B290" s="49"/>
      <c r="C290" s="5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5">
      <c r="A291" s="49"/>
      <c r="B291" s="49"/>
      <c r="C291" s="56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5">
      <c r="A292" s="49"/>
      <c r="B292" s="49"/>
      <c r="C292" s="56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5">
      <c r="A293" s="49"/>
      <c r="B293" s="49"/>
      <c r="C293" s="56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5">
      <c r="A294" s="49"/>
      <c r="B294" s="49"/>
      <c r="C294" s="5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5">
      <c r="A295" s="49"/>
      <c r="B295" s="49"/>
      <c r="C295" s="56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5">
      <c r="A296" s="49"/>
      <c r="B296" s="49"/>
      <c r="C296" s="56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5">
      <c r="A297" s="49"/>
      <c r="B297" s="49"/>
      <c r="C297" s="56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5">
      <c r="A298" s="49"/>
      <c r="B298" s="49"/>
      <c r="C298" s="5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5">
      <c r="A299" s="49"/>
      <c r="B299" s="49"/>
      <c r="C299" s="56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5">
      <c r="A300" s="49"/>
      <c r="B300" s="49"/>
      <c r="C300" s="56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5">
      <c r="A301" s="49"/>
      <c r="B301" s="49"/>
      <c r="C301" s="56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5">
      <c r="A302" s="49"/>
      <c r="B302" s="49"/>
      <c r="C302" s="5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5">
      <c r="A303" s="49"/>
      <c r="B303" s="49"/>
      <c r="C303" s="56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5">
      <c r="A304" s="49"/>
      <c r="B304" s="49"/>
      <c r="C304" s="56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5">
      <c r="A305" s="49"/>
      <c r="B305" s="49"/>
      <c r="C305" s="56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5">
      <c r="A306" s="49"/>
      <c r="B306" s="49"/>
      <c r="C306" s="5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5">
      <c r="A307" s="49"/>
      <c r="B307" s="49"/>
      <c r="C307" s="56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5">
      <c r="A308" s="49"/>
      <c r="B308" s="49"/>
      <c r="C308" s="56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5">
      <c r="A309" s="49"/>
      <c r="B309" s="49"/>
      <c r="C309" s="56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5">
      <c r="A310" s="49"/>
      <c r="B310" s="49"/>
      <c r="C310" s="5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5">
      <c r="A311" s="49"/>
      <c r="B311" s="49"/>
      <c r="C311" s="56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5">
      <c r="A312" s="49"/>
      <c r="B312" s="49"/>
      <c r="C312" s="56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5">
      <c r="A313" s="49"/>
      <c r="B313" s="49"/>
      <c r="C313" s="56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5">
      <c r="A314" s="49"/>
      <c r="B314" s="49"/>
      <c r="C314" s="5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5">
      <c r="A315" s="49"/>
      <c r="B315" s="49"/>
      <c r="C315" s="56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5">
      <c r="A316" s="49"/>
      <c r="B316" s="49"/>
      <c r="C316" s="56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5">
      <c r="A317" s="49"/>
      <c r="B317" s="49"/>
      <c r="C317" s="56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5">
      <c r="A318" s="49"/>
      <c r="B318" s="49"/>
      <c r="C318" s="5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5">
      <c r="A319" s="49"/>
      <c r="B319" s="49"/>
      <c r="C319" s="56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5">
      <c r="A320" s="49"/>
      <c r="B320" s="49"/>
      <c r="C320" s="56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5">
      <c r="A321" s="49"/>
      <c r="B321" s="49"/>
      <c r="C321" s="56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5">
      <c r="A322" s="49"/>
      <c r="B322" s="49"/>
      <c r="C322" s="5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5">
      <c r="A323" s="49"/>
      <c r="B323" s="49"/>
      <c r="C323" s="56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5">
      <c r="A324" s="49"/>
      <c r="B324" s="49"/>
      <c r="C324" s="56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5">
      <c r="A325" s="49"/>
      <c r="B325" s="49"/>
      <c r="C325" s="56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5">
      <c r="A326" s="49"/>
      <c r="B326" s="49"/>
      <c r="C326" s="5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5">
      <c r="A327" s="49"/>
      <c r="B327" s="49"/>
      <c r="C327" s="56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5">
      <c r="A328" s="49"/>
      <c r="B328" s="49"/>
      <c r="C328" s="56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5">
      <c r="A329" s="49"/>
      <c r="B329" s="49"/>
      <c r="C329" s="56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5">
      <c r="A330" s="49"/>
      <c r="B330" s="49"/>
      <c r="C330" s="5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5">
      <c r="A331" s="49"/>
      <c r="B331" s="49"/>
      <c r="C331" s="56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5">
      <c r="A332" s="49"/>
      <c r="B332" s="49"/>
      <c r="C332" s="56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5">
      <c r="A333" s="49"/>
      <c r="B333" s="49"/>
      <c r="C333" s="56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5">
      <c r="A334" s="49"/>
      <c r="B334" s="49"/>
      <c r="C334" s="5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5">
      <c r="A335" s="49"/>
      <c r="B335" s="49"/>
      <c r="C335" s="56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5">
      <c r="A336" s="49"/>
      <c r="B336" s="49"/>
      <c r="C336" s="56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5">
      <c r="A337" s="49"/>
      <c r="B337" s="49"/>
      <c r="C337" s="56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5">
      <c r="A338" s="49"/>
      <c r="B338" s="49"/>
      <c r="C338" s="5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5">
      <c r="A339" s="49"/>
      <c r="B339" s="49"/>
      <c r="C339" s="56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5">
      <c r="A340" s="49"/>
      <c r="B340" s="49"/>
      <c r="C340" s="56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5">
      <c r="A341" s="49"/>
      <c r="B341" s="49"/>
      <c r="C341" s="56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5">
      <c r="A342" s="49"/>
      <c r="B342" s="49"/>
      <c r="C342" s="5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5">
      <c r="A343" s="49"/>
      <c r="B343" s="49"/>
      <c r="C343" s="56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5">
      <c r="A344" s="49"/>
      <c r="B344" s="49"/>
      <c r="C344" s="56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5">
      <c r="A345" s="49"/>
      <c r="B345" s="49"/>
      <c r="C345" s="56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5">
      <c r="A346" s="49"/>
      <c r="B346" s="49"/>
      <c r="C346" s="5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5">
      <c r="A347" s="49"/>
      <c r="B347" s="49"/>
      <c r="C347" s="56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5">
      <c r="A348" s="49"/>
      <c r="B348" s="49"/>
      <c r="C348" s="56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5">
      <c r="A349" s="49"/>
      <c r="B349" s="49"/>
      <c r="C349" s="56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5">
      <c r="A350" s="49"/>
      <c r="B350" s="49"/>
      <c r="C350" s="5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5">
      <c r="A351" s="49"/>
      <c r="B351" s="49"/>
      <c r="C351" s="56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5">
      <c r="A352" s="49"/>
      <c r="B352" s="49"/>
      <c r="C352" s="56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5">
      <c r="A353" s="49"/>
      <c r="B353" s="49"/>
      <c r="C353" s="56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5">
      <c r="A354" s="49"/>
      <c r="B354" s="49"/>
      <c r="C354" s="5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5">
      <c r="A355" s="49"/>
      <c r="B355" s="49"/>
      <c r="C355" s="56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5">
      <c r="A356" s="49"/>
      <c r="B356" s="49"/>
      <c r="C356" s="56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5">
      <c r="A357" s="49"/>
      <c r="B357" s="49"/>
      <c r="C357" s="56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5">
      <c r="A358" s="49"/>
      <c r="B358" s="49"/>
      <c r="C358" s="5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5">
      <c r="A359" s="49"/>
      <c r="B359" s="49"/>
      <c r="C359" s="56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5">
      <c r="A360" s="49"/>
      <c r="B360" s="49"/>
      <c r="C360" s="56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5">
      <c r="A361" s="49"/>
      <c r="B361" s="49"/>
      <c r="C361" s="56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5">
      <c r="A362" s="49"/>
      <c r="B362" s="49"/>
      <c r="C362" s="5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5">
      <c r="A363" s="49"/>
      <c r="B363" s="49"/>
      <c r="C363" s="56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5">
      <c r="A364" s="49"/>
      <c r="B364" s="49"/>
      <c r="C364" s="56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5">
      <c r="A365" s="49"/>
      <c r="B365" s="49"/>
      <c r="C365" s="56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5">
      <c r="A366" s="49"/>
      <c r="B366" s="49"/>
      <c r="C366" s="5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5">
      <c r="A367" s="49"/>
      <c r="B367" s="49"/>
      <c r="C367" s="56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5">
      <c r="A368" s="49"/>
      <c r="B368" s="49"/>
      <c r="C368" s="56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5">
      <c r="A369" s="49"/>
      <c r="B369" s="49"/>
      <c r="C369" s="56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5">
      <c r="A370" s="49"/>
      <c r="B370" s="49"/>
      <c r="C370" s="5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5">
      <c r="A371" s="49"/>
      <c r="B371" s="49"/>
      <c r="C371" s="56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5">
      <c r="A372" s="49"/>
      <c r="B372" s="49"/>
      <c r="C372" s="56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5">
      <c r="A373" s="49"/>
      <c r="B373" s="49"/>
      <c r="C373" s="56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5">
      <c r="A374" s="49"/>
      <c r="B374" s="49"/>
      <c r="C374" s="5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5">
      <c r="A375" s="49"/>
      <c r="B375" s="49"/>
      <c r="C375" s="56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5">
      <c r="A376" s="49"/>
      <c r="B376" s="49"/>
      <c r="C376" s="56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5">
      <c r="A377" s="49"/>
      <c r="B377" s="49"/>
      <c r="C377" s="56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5">
      <c r="A378" s="49"/>
      <c r="B378" s="49"/>
      <c r="C378" s="5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5">
      <c r="A379" s="49"/>
      <c r="B379" s="49"/>
      <c r="C379" s="56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5">
      <c r="A380" s="49"/>
      <c r="B380" s="49"/>
      <c r="C380" s="56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5">
      <c r="A381" s="49"/>
      <c r="B381" s="49"/>
      <c r="C381" s="56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5">
      <c r="A382" s="49"/>
      <c r="B382" s="49"/>
      <c r="C382" s="5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5">
      <c r="A383" s="49"/>
      <c r="B383" s="49"/>
      <c r="C383" s="56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5">
      <c r="A384" s="49"/>
      <c r="B384" s="49"/>
      <c r="C384" s="56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5">
      <c r="A385" s="49"/>
      <c r="B385" s="49"/>
      <c r="C385" s="56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5">
      <c r="A386" s="49"/>
      <c r="B386" s="49"/>
      <c r="C386" s="5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5">
      <c r="A387" s="49"/>
      <c r="B387" s="49"/>
      <c r="C387" s="56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5">
      <c r="A388" s="49"/>
      <c r="B388" s="49"/>
      <c r="C388" s="56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5">
      <c r="A389" s="49"/>
      <c r="B389" s="49"/>
      <c r="C389" s="56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5">
      <c r="A390" s="49"/>
      <c r="B390" s="49"/>
      <c r="C390" s="5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5">
      <c r="A391" s="49"/>
      <c r="B391" s="49"/>
      <c r="C391" s="56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5">
      <c r="A392" s="49"/>
      <c r="B392" s="49"/>
      <c r="C392" s="56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5">
      <c r="A393" s="49"/>
      <c r="B393" s="49"/>
      <c r="C393" s="56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5">
      <c r="A394" s="49"/>
      <c r="B394" s="49"/>
      <c r="C394" s="5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5">
      <c r="A395" s="49"/>
      <c r="B395" s="49"/>
      <c r="C395" s="56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5">
      <c r="A396" s="49"/>
      <c r="B396" s="49"/>
      <c r="C396" s="56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5">
      <c r="A397" s="49"/>
      <c r="B397" s="49"/>
      <c r="C397" s="56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5">
      <c r="A398" s="49"/>
      <c r="B398" s="49"/>
      <c r="C398" s="5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5">
      <c r="A399" s="49"/>
      <c r="B399" s="49"/>
      <c r="C399" s="56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5">
      <c r="A400" s="49"/>
      <c r="B400" s="49"/>
      <c r="C400" s="56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5">
      <c r="A401" s="49"/>
      <c r="B401" s="49"/>
      <c r="C401" s="56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5">
      <c r="A402" s="49"/>
      <c r="B402" s="49"/>
      <c r="C402" s="5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5">
      <c r="A403" s="49"/>
      <c r="B403" s="49"/>
      <c r="C403" s="56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5">
      <c r="A404" s="49"/>
      <c r="B404" s="49"/>
      <c r="C404" s="56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5">
      <c r="A405" s="49"/>
      <c r="B405" s="49"/>
      <c r="C405" s="56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5">
      <c r="A406" s="49"/>
      <c r="B406" s="49"/>
      <c r="C406" s="56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5">
      <c r="A407" s="49"/>
      <c r="B407" s="49"/>
      <c r="C407" s="56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5">
      <c r="A408" s="49"/>
      <c r="B408" s="49"/>
      <c r="C408" s="56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5">
      <c r="A409" s="49"/>
      <c r="B409" s="49"/>
      <c r="C409" s="56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5">
      <c r="A410" s="49"/>
      <c r="B410" s="49"/>
      <c r="C410" s="56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5">
      <c r="A411" s="49"/>
      <c r="B411" s="49"/>
      <c r="C411" s="56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5">
      <c r="A412" s="49"/>
      <c r="B412" s="49"/>
      <c r="C412" s="56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5">
      <c r="A413" s="49"/>
      <c r="B413" s="49"/>
      <c r="C413" s="56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5">
      <c r="A414" s="49"/>
      <c r="B414" s="49"/>
      <c r="C414" s="56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5">
      <c r="A415" s="49"/>
      <c r="B415" s="49"/>
      <c r="C415" s="56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5">
      <c r="A416" s="49"/>
      <c r="B416" s="49"/>
      <c r="C416" s="56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5">
      <c r="A417" s="49"/>
      <c r="B417" s="49"/>
      <c r="C417" s="56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5">
      <c r="A418" s="49"/>
      <c r="B418" s="49"/>
      <c r="C418" s="56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5">
      <c r="A419" s="49"/>
      <c r="B419" s="49"/>
      <c r="C419" s="56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5">
      <c r="A420" s="49"/>
      <c r="B420" s="49"/>
      <c r="C420" s="56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5">
      <c r="A421" s="49"/>
      <c r="B421" s="49"/>
      <c r="C421" s="56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5">
      <c r="A422" s="49"/>
      <c r="B422" s="49"/>
      <c r="C422" s="56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5">
      <c r="A423" s="49"/>
      <c r="B423" s="49"/>
      <c r="C423" s="56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5">
      <c r="A424" s="49"/>
      <c r="B424" s="49"/>
      <c r="C424" s="56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5">
      <c r="A425" s="49"/>
      <c r="B425" s="49"/>
      <c r="C425" s="56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5">
      <c r="A426" s="49"/>
      <c r="B426" s="49"/>
      <c r="C426" s="56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5">
      <c r="A427" s="49"/>
      <c r="B427" s="49"/>
      <c r="C427" s="56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5">
      <c r="A428" s="49"/>
      <c r="B428" s="49"/>
      <c r="C428" s="56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5">
      <c r="A429" s="49"/>
      <c r="B429" s="49"/>
      <c r="C429" s="56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5">
      <c r="A430" s="49"/>
      <c r="B430" s="49"/>
      <c r="C430" s="56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5">
      <c r="A431" s="49"/>
      <c r="B431" s="49"/>
      <c r="C431" s="56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5">
      <c r="A432" s="49"/>
      <c r="B432" s="49"/>
      <c r="C432" s="56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5">
      <c r="A433" s="49"/>
      <c r="B433" s="49"/>
      <c r="C433" s="56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5">
      <c r="A434" s="49"/>
      <c r="B434" s="49"/>
      <c r="C434" s="56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5">
      <c r="A435" s="49"/>
      <c r="B435" s="49"/>
      <c r="C435" s="56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5">
      <c r="A436" s="49"/>
      <c r="B436" s="49"/>
      <c r="C436" s="56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5">
      <c r="A437" s="49"/>
      <c r="B437" s="49"/>
      <c r="C437" s="56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5">
      <c r="A438" s="49"/>
      <c r="B438" s="49"/>
      <c r="C438" s="56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5">
      <c r="A439" s="49"/>
      <c r="B439" s="49"/>
      <c r="C439" s="56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5">
      <c r="A440" s="49"/>
      <c r="B440" s="49"/>
      <c r="C440" s="56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5">
      <c r="A441" s="49"/>
      <c r="B441" s="49"/>
      <c r="C441" s="56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5">
      <c r="A442" s="49"/>
      <c r="B442" s="49"/>
      <c r="C442" s="56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5">
      <c r="A443" s="49"/>
      <c r="B443" s="49"/>
      <c r="C443" s="56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5">
      <c r="A444" s="49"/>
      <c r="B444" s="49"/>
      <c r="C444" s="56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5">
      <c r="A445" s="49"/>
      <c r="B445" s="49"/>
      <c r="C445" s="56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5">
      <c r="A446" s="49"/>
      <c r="B446" s="49"/>
      <c r="C446" s="56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5">
      <c r="A447" s="49"/>
      <c r="B447" s="49"/>
      <c r="C447" s="56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5">
      <c r="A448" s="49"/>
      <c r="B448" s="49"/>
      <c r="C448" s="56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5">
      <c r="A449" s="49"/>
      <c r="B449" s="49"/>
      <c r="C449" s="56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5">
      <c r="A450" s="49"/>
      <c r="B450" s="49"/>
      <c r="C450" s="56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5">
      <c r="A451" s="49"/>
      <c r="B451" s="49"/>
      <c r="C451" s="56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5">
      <c r="A452" s="49"/>
      <c r="B452" s="49"/>
      <c r="C452" s="56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5">
      <c r="A453" s="49"/>
      <c r="B453" s="49"/>
      <c r="C453" s="56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5">
      <c r="A454" s="49"/>
      <c r="B454" s="49"/>
      <c r="C454" s="56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5">
      <c r="A455" s="49"/>
      <c r="B455" s="49"/>
      <c r="C455" s="56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5">
      <c r="A456" s="49"/>
      <c r="B456" s="49"/>
      <c r="C456" s="56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5">
      <c r="A457" s="49"/>
      <c r="B457" s="49"/>
      <c r="C457" s="56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5">
      <c r="A458" s="49"/>
      <c r="B458" s="49"/>
      <c r="C458" s="56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5">
      <c r="A459" s="49"/>
      <c r="B459" s="49"/>
      <c r="C459" s="56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5">
      <c r="A460" s="49"/>
      <c r="B460" s="49"/>
      <c r="C460" s="56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5">
      <c r="A461" s="49"/>
      <c r="B461" s="49"/>
      <c r="C461" s="56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5">
      <c r="A462" s="49"/>
      <c r="B462" s="49"/>
      <c r="C462" s="56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5">
      <c r="A463" s="49"/>
      <c r="B463" s="49"/>
      <c r="C463" s="56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5">
      <c r="A464" s="49"/>
      <c r="B464" s="49"/>
      <c r="C464" s="56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5">
      <c r="A465" s="49"/>
      <c r="B465" s="49"/>
      <c r="C465" s="56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5">
      <c r="A466" s="49"/>
      <c r="B466" s="49"/>
      <c r="C466" s="56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5">
      <c r="A467" s="49"/>
      <c r="B467" s="49"/>
      <c r="C467" s="56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5">
      <c r="A468" s="49"/>
      <c r="B468" s="49"/>
      <c r="C468" s="56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5">
      <c r="A469" s="49"/>
      <c r="B469" s="49"/>
      <c r="C469" s="56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5">
      <c r="A470" s="49"/>
      <c r="B470" s="49"/>
      <c r="C470" s="56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5">
      <c r="A471" s="49"/>
      <c r="B471" s="49"/>
      <c r="C471" s="56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5">
      <c r="A472" s="49"/>
      <c r="B472" s="49"/>
      <c r="C472" s="56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5">
      <c r="A473" s="49"/>
      <c r="B473" s="49"/>
      <c r="C473" s="56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5">
      <c r="A474" s="49"/>
      <c r="B474" s="49"/>
      <c r="C474" s="56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5">
      <c r="A475" s="49"/>
      <c r="B475" s="49"/>
      <c r="C475" s="56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5">
      <c r="A476" s="49"/>
      <c r="B476" s="49"/>
      <c r="C476" s="56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5">
      <c r="A477" s="49"/>
      <c r="B477" s="49"/>
      <c r="C477" s="56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5">
      <c r="A478" s="49"/>
      <c r="B478" s="49"/>
      <c r="C478" s="56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5">
      <c r="A479" s="49"/>
      <c r="B479" s="49"/>
      <c r="C479" s="56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5">
      <c r="A480" s="49"/>
      <c r="B480" s="49"/>
      <c r="C480" s="56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5">
      <c r="A481" s="49"/>
      <c r="B481" s="49"/>
      <c r="C481" s="56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5">
      <c r="A482" s="49"/>
      <c r="B482" s="49"/>
      <c r="C482" s="56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5">
      <c r="A483" s="49"/>
      <c r="B483" s="49"/>
      <c r="C483" s="56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5">
      <c r="A484" s="49"/>
      <c r="B484" s="49"/>
      <c r="C484" s="56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5">
      <c r="A485" s="49"/>
      <c r="B485" s="49"/>
      <c r="C485" s="56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5">
      <c r="A486" s="49"/>
      <c r="B486" s="49"/>
      <c r="C486" s="56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5">
      <c r="A487" s="49"/>
      <c r="B487" s="49"/>
      <c r="C487" s="56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5">
      <c r="A488" s="49"/>
      <c r="B488" s="49"/>
      <c r="C488" s="56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5">
      <c r="A489" s="49"/>
      <c r="B489" s="49"/>
      <c r="C489" s="56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5">
      <c r="A490" s="49"/>
      <c r="B490" s="49"/>
      <c r="C490" s="56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5">
      <c r="A491" s="49"/>
      <c r="B491" s="49"/>
      <c r="C491" s="56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5">
      <c r="A492" s="49"/>
      <c r="B492" s="49"/>
      <c r="C492" s="56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5">
      <c r="A493" s="49"/>
      <c r="B493" s="49"/>
      <c r="C493" s="56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5">
      <c r="A494" s="49"/>
      <c r="B494" s="49"/>
      <c r="C494" s="56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5">
      <c r="A495" s="49"/>
      <c r="B495" s="49"/>
      <c r="C495" s="56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5">
      <c r="A496" s="49"/>
      <c r="B496" s="49"/>
      <c r="C496" s="56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5">
      <c r="A497" s="49"/>
      <c r="B497" s="49"/>
      <c r="C497" s="56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5">
      <c r="A498" s="49"/>
      <c r="B498" s="49"/>
      <c r="C498" s="56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5">
      <c r="A499" s="49"/>
      <c r="B499" s="49"/>
      <c r="C499" s="56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5">
      <c r="A500" s="49"/>
      <c r="B500" s="49"/>
      <c r="C500" s="56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5">
      <c r="A501" s="49"/>
      <c r="B501" s="49"/>
      <c r="C501" s="56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5">
      <c r="A502" s="49"/>
      <c r="B502" s="49"/>
      <c r="C502" s="56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5">
      <c r="A503" s="49"/>
      <c r="B503" s="49"/>
      <c r="C503" s="56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5">
      <c r="A504" s="49"/>
      <c r="B504" s="49"/>
      <c r="C504" s="56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5">
      <c r="A505" s="49"/>
      <c r="B505" s="49"/>
      <c r="C505" s="56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5">
      <c r="A506" s="49"/>
      <c r="B506" s="49"/>
      <c r="C506" s="56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5">
      <c r="A507" s="49"/>
      <c r="B507" s="49"/>
      <c r="C507" s="56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5">
      <c r="A508" s="49"/>
      <c r="B508" s="49"/>
      <c r="C508" s="56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5">
      <c r="A509" s="49"/>
      <c r="B509" s="49"/>
      <c r="C509" s="56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5">
      <c r="A510" s="49"/>
      <c r="B510" s="49"/>
      <c r="C510" s="56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5">
      <c r="A511" s="49"/>
      <c r="B511" s="49"/>
      <c r="C511" s="56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5">
      <c r="A512" s="49"/>
      <c r="B512" s="49"/>
      <c r="C512" s="56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5">
      <c r="A513" s="49"/>
      <c r="B513" s="49"/>
      <c r="C513" s="56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5">
      <c r="A514" s="49"/>
      <c r="B514" s="49"/>
      <c r="C514" s="56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5">
      <c r="A515" s="49"/>
      <c r="B515" s="49"/>
      <c r="C515" s="56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5">
      <c r="A516" s="49"/>
      <c r="B516" s="49"/>
      <c r="C516" s="56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5">
      <c r="A517" s="49"/>
      <c r="B517" s="49"/>
      <c r="C517" s="56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5">
      <c r="A518" s="49"/>
      <c r="B518" s="49"/>
      <c r="C518" s="56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5">
      <c r="A519" s="49"/>
      <c r="B519" s="49"/>
      <c r="C519" s="56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5">
      <c r="A520" s="49"/>
      <c r="B520" s="49"/>
      <c r="C520" s="56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5">
      <c r="A521" s="49"/>
      <c r="B521" s="49"/>
      <c r="C521" s="56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5">
      <c r="A522" s="49"/>
      <c r="B522" s="49"/>
      <c r="C522" s="56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5">
      <c r="A523" s="49"/>
      <c r="B523" s="49"/>
      <c r="C523" s="56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5">
      <c r="A524" s="49"/>
      <c r="B524" s="49"/>
      <c r="C524" s="56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5">
      <c r="A525" s="49"/>
      <c r="B525" s="49"/>
      <c r="C525" s="56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5">
      <c r="A526" s="49"/>
      <c r="B526" s="49"/>
      <c r="C526" s="56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5">
      <c r="A527" s="49"/>
      <c r="B527" s="49"/>
      <c r="C527" s="56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5">
      <c r="A528" s="49"/>
      <c r="B528" s="49"/>
      <c r="C528" s="56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5">
      <c r="A529" s="49"/>
      <c r="B529" s="49"/>
      <c r="C529" s="56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5">
      <c r="A530" s="49"/>
      <c r="B530" s="49"/>
      <c r="C530" s="56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5">
      <c r="A531" s="49"/>
      <c r="B531" s="49"/>
      <c r="C531" s="56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5">
      <c r="A532" s="49"/>
      <c r="B532" s="49"/>
      <c r="C532" s="56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5">
      <c r="A533" s="49"/>
      <c r="B533" s="49"/>
      <c r="C533" s="56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5">
      <c r="A534" s="49"/>
      <c r="B534" s="49"/>
      <c r="C534" s="56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5">
      <c r="A535" s="49"/>
      <c r="B535" s="49"/>
      <c r="C535" s="56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5">
      <c r="A536" s="49"/>
      <c r="B536" s="49"/>
      <c r="C536" s="56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5">
      <c r="A537" s="49"/>
      <c r="B537" s="49"/>
      <c r="C537" s="56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5">
      <c r="A538" s="49"/>
      <c r="B538" s="49"/>
      <c r="C538" s="56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5">
      <c r="A539" s="49"/>
      <c r="B539" s="49"/>
      <c r="C539" s="56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5">
      <c r="A540" s="49"/>
      <c r="B540" s="49"/>
      <c r="C540" s="56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5">
      <c r="A541" s="49"/>
      <c r="B541" s="49"/>
      <c r="C541" s="56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5">
      <c r="A542" s="49"/>
      <c r="B542" s="49"/>
      <c r="C542" s="56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5">
      <c r="A543" s="49"/>
      <c r="B543" s="49"/>
      <c r="C543" s="56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5">
      <c r="A544" s="49"/>
      <c r="B544" s="49"/>
      <c r="C544" s="56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5">
      <c r="A545" s="49"/>
      <c r="B545" s="49"/>
      <c r="C545" s="56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5">
      <c r="A546" s="49"/>
      <c r="B546" s="49"/>
      <c r="C546" s="56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5">
      <c r="A547" s="49"/>
      <c r="B547" s="49"/>
      <c r="C547" s="56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5">
      <c r="A548" s="49"/>
      <c r="B548" s="49"/>
      <c r="C548" s="56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5">
      <c r="A549" s="49"/>
      <c r="B549" s="49"/>
      <c r="C549" s="56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5">
      <c r="A550" s="49"/>
      <c r="B550" s="49"/>
      <c r="C550" s="56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5">
      <c r="A551" s="49"/>
      <c r="B551" s="49"/>
      <c r="C551" s="56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5">
      <c r="A552" s="49"/>
      <c r="B552" s="49"/>
      <c r="C552" s="56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5">
      <c r="A553" s="49"/>
      <c r="B553" s="49"/>
      <c r="C553" s="56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5">
      <c r="A554" s="49"/>
      <c r="B554" s="49"/>
      <c r="C554" s="56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5">
      <c r="A555" s="49"/>
      <c r="B555" s="49"/>
      <c r="C555" s="56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5">
      <c r="A556" s="49"/>
      <c r="B556" s="49"/>
      <c r="C556" s="56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5">
      <c r="A557" s="49"/>
      <c r="B557" s="49"/>
      <c r="C557" s="56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5">
      <c r="A558" s="49"/>
      <c r="B558" s="49"/>
      <c r="C558" s="56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5">
      <c r="A559" s="49"/>
      <c r="B559" s="49"/>
      <c r="C559" s="56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5">
      <c r="A560" s="49"/>
      <c r="B560" s="49"/>
      <c r="C560" s="56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5">
      <c r="A561" s="49"/>
      <c r="B561" s="49"/>
      <c r="C561" s="56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5">
      <c r="A562" s="49"/>
      <c r="B562" s="49"/>
      <c r="C562" s="56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5">
      <c r="A563" s="49"/>
      <c r="B563" s="49"/>
      <c r="C563" s="56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5">
      <c r="A564" s="49"/>
      <c r="B564" s="49"/>
      <c r="C564" s="56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5">
      <c r="A565" s="49"/>
      <c r="B565" s="49"/>
      <c r="C565" s="56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5">
      <c r="A566" s="49"/>
      <c r="B566" s="49"/>
      <c r="C566" s="56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5">
      <c r="A567" s="49"/>
      <c r="B567" s="49"/>
      <c r="C567" s="56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5">
      <c r="A568" s="49"/>
      <c r="B568" s="49"/>
      <c r="C568" s="56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5">
      <c r="A569" s="49"/>
      <c r="B569" s="49"/>
      <c r="C569" s="56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5">
      <c r="A570" s="49"/>
      <c r="B570" s="49"/>
      <c r="C570" s="56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5">
      <c r="A571" s="49"/>
      <c r="B571" s="49"/>
      <c r="C571" s="56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5">
      <c r="A572" s="49"/>
      <c r="B572" s="49"/>
      <c r="C572" s="56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5">
      <c r="A573" s="49"/>
      <c r="B573" s="49"/>
      <c r="C573" s="56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5">
      <c r="A574" s="49"/>
      <c r="B574" s="49"/>
      <c r="C574" s="56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5">
      <c r="A575" s="49"/>
      <c r="B575" s="49"/>
      <c r="C575" s="56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5">
      <c r="A576" s="49"/>
      <c r="B576" s="49"/>
      <c r="C576" s="56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5">
      <c r="A577" s="49"/>
      <c r="B577" s="49"/>
      <c r="C577" s="56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5">
      <c r="A578" s="49"/>
      <c r="B578" s="49"/>
      <c r="C578" s="56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5">
      <c r="A579" s="49"/>
      <c r="B579" s="49"/>
      <c r="C579" s="56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5">
      <c r="A580" s="49"/>
      <c r="B580" s="49"/>
      <c r="C580" s="56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5">
      <c r="A581" s="49"/>
      <c r="B581" s="49"/>
      <c r="C581" s="56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5">
      <c r="A582" s="49"/>
      <c r="B582" s="49"/>
      <c r="C582" s="56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5">
      <c r="A583" s="49"/>
      <c r="B583" s="49"/>
      <c r="C583" s="56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5">
      <c r="A584" s="49"/>
      <c r="B584" s="49"/>
      <c r="C584" s="56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5">
      <c r="A585" s="49"/>
      <c r="B585" s="49"/>
      <c r="C585" s="56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5">
      <c r="A586" s="49"/>
      <c r="B586" s="49"/>
      <c r="C586" s="56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5">
      <c r="A587" s="49"/>
      <c r="B587" s="49"/>
      <c r="C587" s="56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5">
      <c r="A588" s="49"/>
      <c r="B588" s="49"/>
      <c r="C588" s="56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5">
      <c r="A589" s="49"/>
      <c r="B589" s="49"/>
      <c r="C589" s="56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5">
      <c r="A590" s="49"/>
      <c r="B590" s="49"/>
      <c r="C590" s="56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5">
      <c r="A591" s="49"/>
      <c r="B591" s="49"/>
      <c r="C591" s="56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5">
      <c r="A592" s="49"/>
      <c r="B592" s="49"/>
      <c r="C592" s="56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5">
      <c r="A593" s="49"/>
      <c r="B593" s="49"/>
      <c r="C593" s="56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5">
      <c r="A594" s="49"/>
      <c r="B594" s="49"/>
      <c r="C594" s="56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5">
      <c r="A595" s="49"/>
      <c r="B595" s="49"/>
      <c r="C595" s="56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5">
      <c r="A596" s="49"/>
      <c r="B596" s="49"/>
      <c r="C596" s="56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5">
      <c r="A597" s="49"/>
      <c r="B597" s="49"/>
      <c r="C597" s="56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5">
      <c r="A598" s="49"/>
      <c r="B598" s="49"/>
      <c r="C598" s="56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5">
      <c r="A599" s="49"/>
      <c r="B599" s="49"/>
      <c r="C599" s="56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5">
      <c r="A600" s="49"/>
      <c r="B600" s="49"/>
      <c r="C600" s="56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5">
      <c r="A601" s="49"/>
      <c r="B601" s="49"/>
      <c r="C601" s="56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5">
      <c r="A602" s="49"/>
      <c r="B602" s="49"/>
      <c r="C602" s="56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5">
      <c r="A603" s="49"/>
      <c r="B603" s="49"/>
      <c r="C603" s="56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5">
      <c r="A604" s="49"/>
      <c r="B604" s="49"/>
      <c r="C604" s="56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5">
      <c r="A605" s="49"/>
      <c r="B605" s="49"/>
      <c r="C605" s="56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5">
      <c r="A606" s="49"/>
      <c r="B606" s="49"/>
      <c r="C606" s="56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5">
      <c r="A607" s="49"/>
      <c r="B607" s="49"/>
      <c r="C607" s="56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5">
      <c r="A608" s="49"/>
      <c r="B608" s="49"/>
      <c r="C608" s="56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5">
      <c r="A609" s="49"/>
      <c r="B609" s="49"/>
      <c r="C609" s="56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5">
      <c r="A610" s="49"/>
      <c r="B610" s="49"/>
      <c r="C610" s="56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5">
      <c r="A611" s="49"/>
      <c r="B611" s="49"/>
      <c r="C611" s="56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5">
      <c r="A612" s="49"/>
      <c r="B612" s="49"/>
      <c r="C612" s="56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5">
      <c r="A613" s="49"/>
      <c r="B613" s="49"/>
      <c r="C613" s="56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5">
      <c r="A614" s="49"/>
      <c r="B614" s="49"/>
      <c r="C614" s="56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5">
      <c r="A615" s="49"/>
      <c r="B615" s="49"/>
      <c r="C615" s="56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5">
      <c r="A616" s="49"/>
      <c r="B616" s="49"/>
      <c r="C616" s="56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5">
      <c r="A617" s="49"/>
      <c r="B617" s="49"/>
      <c r="C617" s="56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5">
      <c r="A618" s="49"/>
      <c r="B618" s="49"/>
      <c r="C618" s="56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5">
      <c r="A619" s="49"/>
      <c r="B619" s="49"/>
      <c r="C619" s="56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5">
      <c r="A620" s="49"/>
      <c r="B620" s="49"/>
      <c r="C620" s="56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5">
      <c r="A621" s="49"/>
      <c r="B621" s="49"/>
      <c r="C621" s="56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5">
      <c r="A622" s="49"/>
      <c r="B622" s="49"/>
      <c r="C622" s="56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5">
      <c r="A623" s="49"/>
      <c r="B623" s="49"/>
      <c r="C623" s="56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5">
      <c r="A624" s="49"/>
      <c r="B624" s="49"/>
      <c r="C624" s="56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5">
      <c r="A625" s="49"/>
      <c r="B625" s="49"/>
      <c r="C625" s="56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5">
      <c r="A626" s="49"/>
      <c r="B626" s="49"/>
      <c r="C626" s="56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5">
      <c r="A627" s="49"/>
      <c r="B627" s="49"/>
      <c r="C627" s="56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5">
      <c r="A628" s="49"/>
      <c r="B628" s="49"/>
      <c r="C628" s="56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5">
      <c r="A629" s="49"/>
      <c r="B629" s="49"/>
      <c r="C629" s="56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5">
      <c r="A630" s="49"/>
      <c r="B630" s="49"/>
      <c r="C630" s="56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5">
      <c r="A631" s="49"/>
      <c r="B631" s="49"/>
      <c r="C631" s="56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5">
      <c r="A632" s="49"/>
      <c r="B632" s="49"/>
      <c r="C632" s="56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5">
      <c r="A633" s="49"/>
      <c r="B633" s="49"/>
      <c r="C633" s="56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5">
      <c r="A634" s="49"/>
      <c r="B634" s="49"/>
      <c r="C634" s="56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5">
      <c r="A635" s="49"/>
      <c r="B635" s="49"/>
      <c r="C635" s="56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5">
      <c r="A636" s="49"/>
      <c r="B636" s="49"/>
      <c r="C636" s="56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5">
      <c r="A637" s="49"/>
      <c r="B637" s="49"/>
      <c r="C637" s="56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5">
      <c r="A638" s="49"/>
      <c r="B638" s="49"/>
      <c r="C638" s="56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5">
      <c r="A639" s="49"/>
      <c r="B639" s="49"/>
      <c r="C639" s="56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5">
      <c r="A640" s="49"/>
      <c r="B640" s="49"/>
      <c r="C640" s="56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5">
      <c r="A641" s="49"/>
      <c r="B641" s="49"/>
      <c r="C641" s="56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5">
      <c r="A642" s="49"/>
      <c r="B642" s="49"/>
      <c r="C642" s="56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5">
      <c r="A643" s="49"/>
      <c r="B643" s="49"/>
      <c r="C643" s="56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5">
      <c r="A644" s="49"/>
      <c r="B644" s="49"/>
      <c r="C644" s="56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5">
      <c r="A645" s="49"/>
      <c r="B645" s="49"/>
      <c r="C645" s="56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5">
      <c r="A646" s="49"/>
      <c r="B646" s="49"/>
      <c r="C646" s="56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5">
      <c r="A647" s="49"/>
      <c r="B647" s="49"/>
      <c r="C647" s="56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5">
      <c r="A648" s="49"/>
      <c r="B648" s="49"/>
      <c r="C648" s="56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5">
      <c r="A649" s="49"/>
      <c r="B649" s="49"/>
      <c r="C649" s="56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5">
      <c r="A650" s="49"/>
      <c r="B650" s="49"/>
      <c r="C650" s="56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5">
      <c r="A651" s="49"/>
      <c r="B651" s="49"/>
      <c r="C651" s="56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5">
      <c r="A652" s="49"/>
      <c r="B652" s="49"/>
      <c r="C652" s="56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5">
      <c r="A653" s="49"/>
      <c r="B653" s="49"/>
      <c r="C653" s="56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5">
      <c r="A654" s="49"/>
      <c r="B654" s="49"/>
      <c r="C654" s="56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5">
      <c r="A655" s="49"/>
      <c r="B655" s="49"/>
      <c r="C655" s="56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5">
      <c r="A656" s="49"/>
      <c r="B656" s="49"/>
      <c r="C656" s="56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5">
      <c r="A657" s="49"/>
      <c r="B657" s="49"/>
      <c r="C657" s="56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5">
      <c r="A658" s="49"/>
      <c r="B658" s="49"/>
      <c r="C658" s="56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5">
      <c r="A659" s="49"/>
      <c r="B659" s="49"/>
      <c r="C659" s="56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5">
      <c r="A660" s="49"/>
      <c r="B660" s="49"/>
      <c r="C660" s="56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5">
      <c r="A661" s="49"/>
      <c r="B661" s="49"/>
      <c r="C661" s="56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5">
      <c r="A662" s="49"/>
      <c r="B662" s="49"/>
      <c r="C662" s="56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5">
      <c r="A663" s="49"/>
      <c r="B663" s="49"/>
      <c r="C663" s="56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5">
      <c r="A664" s="49"/>
      <c r="B664" s="49"/>
      <c r="C664" s="56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5">
      <c r="A665" s="49"/>
      <c r="B665" s="49"/>
      <c r="C665" s="56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5">
      <c r="A666" s="49"/>
      <c r="B666" s="49"/>
      <c r="C666" s="56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5">
      <c r="A667" s="49"/>
      <c r="B667" s="49"/>
      <c r="C667" s="56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5">
      <c r="A668" s="49"/>
      <c r="B668" s="49"/>
      <c r="C668" s="56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5">
      <c r="A669" s="49"/>
      <c r="B669" s="49"/>
      <c r="C669" s="56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5">
      <c r="A670" s="49"/>
      <c r="B670" s="49"/>
      <c r="C670" s="56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5">
      <c r="A671" s="49"/>
      <c r="B671" s="49"/>
      <c r="C671" s="56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5">
      <c r="A672" s="49"/>
      <c r="B672" s="49"/>
      <c r="C672" s="56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5">
      <c r="A673" s="49"/>
      <c r="B673" s="49"/>
      <c r="C673" s="56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5">
      <c r="A674" s="49"/>
      <c r="B674" s="49"/>
      <c r="C674" s="56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5">
      <c r="A675" s="49"/>
      <c r="B675" s="49"/>
      <c r="C675" s="56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5">
      <c r="A676" s="49"/>
      <c r="B676" s="49"/>
      <c r="C676" s="56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5">
      <c r="A677" s="49"/>
      <c r="B677" s="49"/>
      <c r="C677" s="56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5">
      <c r="A678" s="49"/>
      <c r="B678" s="49"/>
      <c r="C678" s="56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5">
      <c r="A679" s="49"/>
      <c r="B679" s="49"/>
      <c r="C679" s="56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5">
      <c r="A680" s="49"/>
      <c r="B680" s="49"/>
      <c r="C680" s="56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5">
      <c r="A681" s="49"/>
      <c r="B681" s="49"/>
      <c r="C681" s="56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5">
      <c r="A682" s="49"/>
      <c r="B682" s="49"/>
      <c r="C682" s="56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5">
      <c r="A683" s="49"/>
      <c r="B683" s="49"/>
      <c r="C683" s="56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5">
      <c r="A684" s="49"/>
      <c r="B684" s="49"/>
      <c r="C684" s="56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5">
      <c r="A685" s="49"/>
      <c r="B685" s="49"/>
      <c r="C685" s="56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5">
      <c r="A686" s="49"/>
      <c r="B686" s="49"/>
      <c r="C686" s="56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5">
      <c r="A687" s="49"/>
      <c r="B687" s="49"/>
      <c r="C687" s="56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5">
      <c r="A688" s="49"/>
      <c r="B688" s="49"/>
      <c r="C688" s="56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5">
      <c r="A689" s="49"/>
      <c r="B689" s="49"/>
      <c r="C689" s="56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5">
      <c r="A690" s="49"/>
      <c r="B690" s="49"/>
      <c r="C690" s="56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5">
      <c r="A691" s="49"/>
      <c r="B691" s="49"/>
      <c r="C691" s="56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5">
      <c r="A692" s="49"/>
      <c r="B692" s="49"/>
      <c r="C692" s="56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5">
      <c r="A693" s="49"/>
      <c r="B693" s="49"/>
      <c r="C693" s="56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5">
      <c r="A694" s="49"/>
      <c r="B694" s="49"/>
      <c r="C694" s="56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5">
      <c r="A695" s="49"/>
      <c r="B695" s="49"/>
      <c r="C695" s="56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5">
      <c r="A696" s="49"/>
      <c r="B696" s="49"/>
      <c r="C696" s="56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5">
      <c r="A697" s="49"/>
      <c r="B697" s="49"/>
      <c r="C697" s="56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5">
      <c r="A698" s="49"/>
      <c r="B698" s="49"/>
      <c r="C698" s="56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5">
      <c r="A699" s="49"/>
      <c r="B699" s="49"/>
      <c r="C699" s="56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5">
      <c r="A700" s="49"/>
      <c r="B700" s="49"/>
      <c r="C700" s="56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5">
      <c r="A701" s="49"/>
      <c r="B701" s="49"/>
      <c r="C701" s="56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5">
      <c r="A702" s="49"/>
      <c r="B702" s="49"/>
      <c r="C702" s="56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5">
      <c r="A703" s="49"/>
      <c r="B703" s="49"/>
      <c r="C703" s="56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5">
      <c r="A704" s="49"/>
      <c r="B704" s="49"/>
      <c r="C704" s="56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5">
      <c r="A705" s="49"/>
      <c r="B705" s="49"/>
      <c r="C705" s="56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5">
      <c r="A706" s="49"/>
      <c r="B706" s="49"/>
      <c r="C706" s="56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5">
      <c r="A707" s="49"/>
      <c r="B707" s="49"/>
      <c r="C707" s="56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5">
      <c r="A708" s="49"/>
      <c r="B708" s="49"/>
      <c r="C708" s="56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5">
      <c r="A709" s="49"/>
      <c r="B709" s="49"/>
      <c r="C709" s="56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5">
      <c r="A710" s="49"/>
      <c r="B710" s="49"/>
      <c r="C710" s="56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5">
      <c r="A711" s="49"/>
      <c r="B711" s="49"/>
      <c r="C711" s="56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5">
      <c r="A712" s="49"/>
      <c r="B712" s="49"/>
      <c r="C712" s="56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5">
      <c r="A713" s="49"/>
      <c r="B713" s="49"/>
      <c r="C713" s="56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5">
      <c r="A714" s="49"/>
      <c r="B714" s="49"/>
      <c r="C714" s="56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5">
      <c r="A715" s="49"/>
      <c r="B715" s="49"/>
      <c r="C715" s="56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5">
      <c r="A716" s="49"/>
      <c r="B716" s="49"/>
      <c r="C716" s="56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5">
      <c r="A717" s="49"/>
      <c r="B717" s="49"/>
      <c r="C717" s="56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5">
      <c r="A718" s="49"/>
      <c r="B718" s="49"/>
      <c r="C718" s="56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5">
      <c r="A719" s="49"/>
      <c r="B719" s="49"/>
      <c r="C719" s="56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5">
      <c r="A720" s="49"/>
      <c r="B720" s="49"/>
      <c r="C720" s="56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5">
      <c r="A721" s="49"/>
      <c r="B721" s="49"/>
      <c r="C721" s="56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5">
      <c r="A722" s="49"/>
      <c r="B722" s="49"/>
      <c r="C722" s="56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5">
      <c r="A723" s="49"/>
      <c r="B723" s="49"/>
      <c r="C723" s="56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5">
      <c r="A724" s="49"/>
      <c r="B724" s="49"/>
      <c r="C724" s="56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5">
      <c r="A725" s="49"/>
      <c r="B725" s="49"/>
      <c r="C725" s="56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5">
      <c r="A726" s="49"/>
      <c r="B726" s="49"/>
      <c r="C726" s="56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5">
      <c r="A727" s="49"/>
      <c r="B727" s="49"/>
      <c r="C727" s="56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5">
      <c r="A728" s="49"/>
      <c r="B728" s="49"/>
      <c r="C728" s="56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5">
      <c r="A729" s="49"/>
      <c r="B729" s="49"/>
      <c r="C729" s="56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5">
      <c r="A730" s="49"/>
      <c r="B730" s="49"/>
      <c r="C730" s="56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5">
      <c r="A731" s="49"/>
      <c r="B731" s="49"/>
      <c r="C731" s="56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5">
      <c r="A732" s="49"/>
      <c r="B732" s="49"/>
      <c r="C732" s="56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5">
      <c r="A733" s="49"/>
      <c r="B733" s="49"/>
      <c r="C733" s="56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5">
      <c r="A734" s="49"/>
      <c r="B734" s="49"/>
      <c r="C734" s="56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5">
      <c r="A735" s="49"/>
      <c r="B735" s="49"/>
      <c r="C735" s="56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5">
      <c r="A736" s="49"/>
      <c r="B736" s="49"/>
      <c r="C736" s="56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5">
      <c r="A737" s="49"/>
      <c r="B737" s="49"/>
      <c r="C737" s="56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5">
      <c r="A738" s="49"/>
      <c r="B738" s="49"/>
      <c r="C738" s="56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5">
      <c r="A739" s="49"/>
      <c r="B739" s="49"/>
      <c r="C739" s="56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5">
      <c r="A740" s="49"/>
      <c r="B740" s="49"/>
      <c r="C740" s="56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5">
      <c r="A741" s="49"/>
      <c r="B741" s="49"/>
      <c r="C741" s="56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5">
      <c r="A742" s="49"/>
      <c r="B742" s="49"/>
      <c r="C742" s="56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5">
      <c r="A743" s="49"/>
      <c r="B743" s="49"/>
      <c r="C743" s="56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5">
      <c r="A744" s="49"/>
      <c r="B744" s="49"/>
      <c r="C744" s="56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5">
      <c r="A745" s="49"/>
      <c r="B745" s="49"/>
      <c r="C745" s="56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5">
      <c r="A746" s="49"/>
      <c r="B746" s="49"/>
      <c r="C746" s="56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5">
      <c r="A747" s="49"/>
      <c r="B747" s="49"/>
      <c r="C747" s="56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5">
      <c r="A748" s="49"/>
      <c r="B748" s="49"/>
      <c r="C748" s="56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5">
      <c r="A749" s="49"/>
      <c r="B749" s="49"/>
      <c r="C749" s="56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5">
      <c r="A750" s="49"/>
      <c r="B750" s="49"/>
      <c r="C750" s="56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5">
      <c r="A751" s="49"/>
      <c r="B751" s="49"/>
      <c r="C751" s="56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5">
      <c r="A752" s="49"/>
      <c r="B752" s="49"/>
      <c r="C752" s="56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5">
      <c r="A753" s="49"/>
      <c r="B753" s="49"/>
      <c r="C753" s="56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5">
      <c r="A754" s="49"/>
      <c r="B754" s="49"/>
      <c r="C754" s="56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5">
      <c r="A755" s="49"/>
      <c r="B755" s="49"/>
      <c r="C755" s="56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5">
      <c r="A756" s="49"/>
      <c r="B756" s="49"/>
      <c r="C756" s="56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5">
      <c r="A757" s="49"/>
      <c r="B757" s="49"/>
      <c r="C757" s="56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5">
      <c r="A758" s="49"/>
      <c r="B758" s="49"/>
      <c r="C758" s="56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5">
      <c r="A759" s="49"/>
      <c r="B759" s="49"/>
      <c r="C759" s="56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5">
      <c r="A760" s="49"/>
      <c r="B760" s="49"/>
      <c r="C760" s="56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5">
      <c r="A761" s="49"/>
      <c r="B761" s="49"/>
      <c r="C761" s="56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5">
      <c r="A762" s="49"/>
      <c r="B762" s="49"/>
      <c r="C762" s="56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5">
      <c r="A763" s="49"/>
      <c r="B763" s="49"/>
      <c r="C763" s="56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5">
      <c r="A764" s="49"/>
      <c r="B764" s="49"/>
      <c r="C764" s="56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5">
      <c r="A765" s="49"/>
      <c r="B765" s="49"/>
      <c r="C765" s="56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5">
      <c r="A766" s="49"/>
      <c r="B766" s="49"/>
      <c r="C766" s="56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5">
      <c r="A767" s="49"/>
      <c r="B767" s="49"/>
      <c r="C767" s="56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5">
      <c r="A768" s="49"/>
      <c r="B768" s="49"/>
      <c r="C768" s="56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5">
      <c r="A769" s="49"/>
      <c r="B769" s="49"/>
      <c r="C769" s="56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5">
      <c r="A770" s="49"/>
      <c r="B770" s="49"/>
      <c r="C770" s="56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5">
      <c r="A771" s="49"/>
      <c r="B771" s="49"/>
      <c r="C771" s="56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5">
      <c r="A772" s="49"/>
      <c r="B772" s="49"/>
      <c r="C772" s="56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5">
      <c r="A773" s="49"/>
      <c r="B773" s="49"/>
      <c r="C773" s="56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5">
      <c r="A774" s="49"/>
      <c r="B774" s="49"/>
      <c r="C774" s="56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5">
      <c r="A775" s="49"/>
      <c r="B775" s="49"/>
      <c r="C775" s="56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5">
      <c r="A776" s="49"/>
      <c r="B776" s="49"/>
      <c r="C776" s="56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5">
      <c r="A777" s="49"/>
      <c r="B777" s="49"/>
      <c r="C777" s="56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5">
      <c r="A778" s="49"/>
      <c r="B778" s="49"/>
      <c r="C778" s="56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5">
      <c r="A779" s="49"/>
      <c r="B779" s="49"/>
      <c r="C779" s="56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</sheetData>
  <mergeCells count="17">
    <mergeCell ref="A14:E14"/>
    <mergeCell ref="C74:D74"/>
    <mergeCell ref="C76:D76"/>
    <mergeCell ref="C78:D78"/>
    <mergeCell ref="A32:E32"/>
    <mergeCell ref="A40:E40"/>
    <mergeCell ref="A46:E46"/>
    <mergeCell ref="A56:E56"/>
    <mergeCell ref="A63:E63"/>
    <mergeCell ref="C70:D70"/>
    <mergeCell ref="C72:D72"/>
    <mergeCell ref="A1:E1"/>
    <mergeCell ref="A11:A12"/>
    <mergeCell ref="B11:B12"/>
    <mergeCell ref="C11:C12"/>
    <mergeCell ref="D11:D12"/>
    <mergeCell ref="E11:E12"/>
  </mergeCells>
  <pageMargins left="0.7" right="0.7" top="0.75" bottom="0.75" header="0" footer="0"/>
  <pageSetup paperSize="9" scale="5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workbookViewId="0">
      <selection activeCell="C13" sqref="C13"/>
    </sheetView>
  </sheetViews>
  <sheetFormatPr defaultColWidth="14.42578125" defaultRowHeight="15" customHeight="1" x14ac:dyDescent="0.25"/>
  <cols>
    <col min="1" max="1" width="4" customWidth="1"/>
    <col min="2" max="2" width="4.42578125" customWidth="1"/>
    <col min="3" max="3" width="15.7109375" customWidth="1"/>
    <col min="4" max="4" width="14.7109375" customWidth="1"/>
    <col min="5" max="8" width="10.85546875" customWidth="1"/>
    <col min="9" max="9" width="16.140625" customWidth="1"/>
    <col min="10" max="16" width="10.85546875" customWidth="1"/>
    <col min="17" max="26" width="10.7109375" customWidth="1"/>
  </cols>
  <sheetData>
    <row r="1" spans="1:26" ht="15.75" customHeight="1" x14ac:dyDescent="0.5">
      <c r="A1" s="85"/>
      <c r="B1" s="86"/>
      <c r="C1" s="87"/>
      <c r="D1" s="87"/>
      <c r="E1" s="87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5.75" customHeight="1" x14ac:dyDescent="0.5">
      <c r="A2" s="85"/>
      <c r="B2" s="87"/>
      <c r="C2" s="86" t="s">
        <v>57</v>
      </c>
      <c r="D2" s="87"/>
      <c r="E2" s="87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5.75" customHeight="1" x14ac:dyDescent="0.5">
      <c r="A3" s="85"/>
      <c r="B3" s="87"/>
      <c r="C3" s="87"/>
      <c r="D3" s="87"/>
      <c r="E3" s="87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5.75" customHeight="1" x14ac:dyDescent="0.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2.5" customHeight="1" x14ac:dyDescent="0.5">
      <c r="A5" s="85"/>
      <c r="B5" s="127" t="s">
        <v>77</v>
      </c>
      <c r="C5" s="116"/>
      <c r="D5" s="88" t="str">
        <f>'Planilha de Custo'!D3</f>
        <v>1 de maio de 2025</v>
      </c>
      <c r="E5" s="89"/>
      <c r="F5" s="89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" customHeight="1" x14ac:dyDescent="0.5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6">
      <c r="A7" s="90"/>
      <c r="B7" s="91" t="s">
        <v>58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customHeight="1" x14ac:dyDescent="0.6">
      <c r="A8" s="90"/>
      <c r="B8" s="91" t="s">
        <v>59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customHeight="1" x14ac:dyDescent="0.6">
      <c r="A9" s="90"/>
      <c r="B9" s="91" t="s">
        <v>60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9" customHeight="1" x14ac:dyDescent="0.6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customHeight="1" x14ac:dyDescent="0.6">
      <c r="A11" s="90"/>
      <c r="B11" s="90" t="s">
        <v>61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.75" customHeight="1" x14ac:dyDescent="0.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22.5" customHeight="1" x14ac:dyDescent="0.6">
      <c r="A13" s="90"/>
      <c r="B13" s="90"/>
      <c r="C13" s="92" t="str">
        <f>'Planilha de Custo'!A6</f>
        <v>1)  VIDEO DE ABERTURA 1m30seg</v>
      </c>
      <c r="D13" s="93"/>
      <c r="E13" s="93"/>
      <c r="F13" s="93"/>
      <c r="G13" s="93"/>
      <c r="H13" s="94"/>
      <c r="I13" s="95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4" customHeight="1" x14ac:dyDescent="0.6">
      <c r="A14" s="90"/>
      <c r="B14" s="90"/>
      <c r="C14" s="96" t="str">
        <f>'Planilha de Custo'!A7</f>
        <v>2) VIDEO GERAL DO EVENTO</v>
      </c>
      <c r="D14" s="91"/>
      <c r="E14" s="91"/>
      <c r="F14" s="91"/>
      <c r="G14" s="91"/>
      <c r="H14" s="91"/>
      <c r="I14" s="97"/>
      <c r="J14" s="90"/>
      <c r="K14" s="90"/>
      <c r="L14" s="90"/>
      <c r="M14" s="98"/>
      <c r="N14" s="98"/>
      <c r="O14" s="98"/>
      <c r="P14" s="9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4" customHeight="1" x14ac:dyDescent="0.6">
      <c r="A15" s="90"/>
      <c r="B15" s="90"/>
      <c r="C15" s="96" t="str">
        <f>'Planilha de Custo'!A8</f>
        <v>3)</v>
      </c>
      <c r="D15" s="91"/>
      <c r="E15" s="91"/>
      <c r="F15" s="91"/>
      <c r="G15" s="91"/>
      <c r="H15" s="91"/>
      <c r="I15" s="97"/>
      <c r="J15" s="90"/>
      <c r="K15" s="90"/>
      <c r="L15" s="98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4" customHeight="1" x14ac:dyDescent="0.6">
      <c r="A16" s="90"/>
      <c r="B16" s="90"/>
      <c r="C16" s="99" t="str">
        <f>'Planilha de Custo'!A9</f>
        <v>4)</v>
      </c>
      <c r="D16" s="100"/>
      <c r="E16" s="100"/>
      <c r="F16" s="100"/>
      <c r="G16" s="100"/>
      <c r="H16" s="100"/>
      <c r="I16" s="101"/>
      <c r="J16" s="90"/>
      <c r="K16" s="90"/>
      <c r="L16" s="90"/>
      <c r="M16" s="98"/>
      <c r="N16" s="98"/>
      <c r="O16" s="98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customHeight="1" x14ac:dyDescent="0.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5.75" customHeight="1" x14ac:dyDescent="0.5">
      <c r="A18" s="85"/>
      <c r="B18" s="85" t="s">
        <v>62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5.75" customHeight="1" x14ac:dyDescent="0.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5.75" customHeight="1" x14ac:dyDescent="0.5">
      <c r="A20" s="85"/>
      <c r="B20" s="85"/>
      <c r="C20" s="102" t="str">
        <f>'Planilha de Custo'!$A$14</f>
        <v>1. Equipe Técnica 📦</v>
      </c>
      <c r="D20" s="103"/>
      <c r="E20" s="103"/>
      <c r="F20" s="102" t="str">
        <f>'Planilha de Custo'!$A$40</f>
        <v>3. Elenco 🎭</v>
      </c>
      <c r="G20" s="104"/>
      <c r="H20" s="104"/>
      <c r="I20" s="103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5.75" customHeight="1" x14ac:dyDescent="0.5">
      <c r="A21" s="85"/>
      <c r="B21" s="85"/>
      <c r="C21" s="103" t="str">
        <f>'Planilha de Custo'!A15</f>
        <v>Diretor</v>
      </c>
      <c r="D21" s="103"/>
      <c r="E21" s="103"/>
      <c r="F21" s="103" t="str">
        <f>'Planilha de Custo'!A$41</f>
        <v>Ator</v>
      </c>
      <c r="G21" s="104"/>
      <c r="H21" s="104"/>
      <c r="I21" s="103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5.75" customHeight="1" x14ac:dyDescent="0.5">
      <c r="A22" s="85"/>
      <c r="B22" s="85"/>
      <c r="C22" s="103" t="str">
        <f>'Planilha de Custo'!A16</f>
        <v>Diretor de Fotografia</v>
      </c>
      <c r="D22" s="103"/>
      <c r="E22" s="103"/>
      <c r="F22" s="103" t="str">
        <f>'Planilha de Custo'!A42</f>
        <v>Apresentador</v>
      </c>
      <c r="G22" s="104"/>
      <c r="H22" s="104"/>
      <c r="I22" s="103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5.75" customHeight="1" x14ac:dyDescent="0.5">
      <c r="A23" s="85"/>
      <c r="B23" s="85"/>
      <c r="C23" s="103" t="str">
        <f>'Planilha de Custo'!A17</f>
        <v>Operador de Câmera</v>
      </c>
      <c r="D23" s="103"/>
      <c r="E23" s="103"/>
      <c r="F23" s="103" t="str">
        <f>'Planilha de Custo'!A43</f>
        <v>Figurante</v>
      </c>
      <c r="G23" s="104"/>
      <c r="H23" s="104"/>
      <c r="I23" s="103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5.75" customHeight="1" x14ac:dyDescent="0.5">
      <c r="A24" s="85"/>
      <c r="B24" s="85"/>
      <c r="C24" s="103" t="str">
        <f>'Planilha de Custo'!A18</f>
        <v>Assistente de Câmera</v>
      </c>
      <c r="D24" s="103"/>
      <c r="E24" s="103"/>
      <c r="F24" s="102" t="str">
        <f>'Planilha de Custo'!$A$46</f>
        <v>4. Pós Produção 🖥️</v>
      </c>
      <c r="G24" s="104"/>
      <c r="H24" s="104"/>
      <c r="I24" s="103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5.75" customHeight="1" x14ac:dyDescent="0.5">
      <c r="A25" s="85"/>
      <c r="B25" s="85"/>
      <c r="C25" s="103" t="str">
        <f>'Planilha de Custo'!A19</f>
        <v>Gaffer (Iluminação) / elétrica</v>
      </c>
      <c r="D25" s="103"/>
      <c r="E25" s="103"/>
      <c r="F25" s="103" t="str">
        <f>'Planilha de Custo'!A47</f>
        <v>Edição de Vídeo</v>
      </c>
      <c r="G25" s="104"/>
      <c r="H25" s="104"/>
      <c r="I25" s="103"/>
      <c r="J25" s="85"/>
      <c r="K25" s="85"/>
      <c r="L25" s="10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5.75" customHeight="1" x14ac:dyDescent="0.5">
      <c r="A26" s="85"/>
      <c r="B26" s="85"/>
      <c r="C26" s="103" t="str">
        <f>'Planilha de Custo'!A20</f>
        <v>Operador de Drone</v>
      </c>
      <c r="D26" s="103"/>
      <c r="E26" s="103"/>
      <c r="F26" s="103" t="str">
        <f>'Planilha de Custo'!A48</f>
        <v>Color Grading</v>
      </c>
      <c r="G26" s="104"/>
      <c r="H26" s="104"/>
      <c r="I26" s="103"/>
      <c r="J26" s="85"/>
      <c r="K26" s="85"/>
      <c r="L26" s="10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5.75" customHeight="1" x14ac:dyDescent="0.5">
      <c r="A27" s="85"/>
      <c r="B27" s="85"/>
      <c r="C27" s="103" t="str">
        <f>'Planilha de Custo'!A21</f>
        <v>Operador de áudio</v>
      </c>
      <c r="D27" s="103"/>
      <c r="E27" s="103"/>
      <c r="F27" s="103" t="str">
        <f>'Planilha de Custo'!A49</f>
        <v>Motion Graphics</v>
      </c>
      <c r="G27" s="104"/>
      <c r="H27" s="104"/>
      <c r="I27" s="103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5.75" customHeight="1" x14ac:dyDescent="0.5">
      <c r="A28" s="85"/>
      <c r="B28" s="85"/>
      <c r="C28" s="103" t="str">
        <f>'Planilha de Custo'!A22</f>
        <v>Cenógrafo</v>
      </c>
      <c r="D28" s="103"/>
      <c r="E28" s="103"/>
      <c r="F28" s="103" t="str">
        <f>'Planilha de Custo'!A50</f>
        <v>Editor de Audio</v>
      </c>
      <c r="G28" s="104"/>
      <c r="H28" s="104"/>
      <c r="I28" s="103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5.75" customHeight="1" x14ac:dyDescent="0.5">
      <c r="A29" s="85"/>
      <c r="B29" s="85"/>
      <c r="C29" s="103" t="str">
        <f>'Planilha de Custo'!A23</f>
        <v>Figurinista</v>
      </c>
      <c r="D29" s="103"/>
      <c r="E29" s="103"/>
      <c r="F29" s="103" t="str">
        <f>'Planilha de Custo'!A51</f>
        <v>Trilha Sonora</v>
      </c>
      <c r="G29" s="104"/>
      <c r="H29" s="104"/>
      <c r="I29" s="103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5.75" customHeight="1" x14ac:dyDescent="0.5">
      <c r="A30" s="85"/>
      <c r="B30" s="85"/>
      <c r="C30" s="103" t="str">
        <f>'Planilha de Custo'!A24</f>
        <v xml:space="preserve">Maquiador(a) </v>
      </c>
      <c r="D30" s="103"/>
      <c r="E30" s="103"/>
      <c r="F30" s="103" t="str">
        <f>'Planilha de Custo'!A52</f>
        <v xml:space="preserve">Locução </v>
      </c>
      <c r="G30" s="104"/>
      <c r="H30" s="104"/>
      <c r="I30" s="103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5.75" customHeight="1" x14ac:dyDescent="0.5">
      <c r="A31" s="85"/>
      <c r="B31" s="85"/>
      <c r="C31" s="103" t="str">
        <f>'Planilha de Custo'!A25</f>
        <v>Cabelereiro</v>
      </c>
      <c r="D31" s="103"/>
      <c r="E31" s="103"/>
      <c r="F31" s="102" t="str">
        <f>'Planilha de Custo'!$A$56</f>
        <v>5.Logistica 🚚</v>
      </c>
      <c r="G31" s="104"/>
      <c r="H31" s="104"/>
      <c r="I31" s="103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5.75" customHeight="1" x14ac:dyDescent="0.5">
      <c r="A32" s="85"/>
      <c r="B32" s="85"/>
      <c r="C32" s="102" t="str">
        <f>'Planilha de Custo'!$A$32</f>
        <v>2. Equipamentos 📸</v>
      </c>
      <c r="D32" s="103"/>
      <c r="E32" s="103"/>
      <c r="F32" s="103" t="str">
        <f>'Planilha de Custo'!A57</f>
        <v>Transporte</v>
      </c>
      <c r="G32" s="104"/>
      <c r="H32" s="104"/>
      <c r="I32" s="103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5">
      <c r="A33" s="85"/>
      <c r="B33" s="85"/>
      <c r="C33" s="103" t="str">
        <f>'Planilha de Custo'!A33</f>
        <v>Câmera</v>
      </c>
      <c r="D33" s="103"/>
      <c r="E33" s="103"/>
      <c r="F33" s="103" t="str">
        <f>'Planilha de Custo'!A58</f>
        <v>Alimentação</v>
      </c>
      <c r="G33" s="104"/>
      <c r="H33" s="104"/>
      <c r="I33" s="103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5.75" customHeight="1" x14ac:dyDescent="0.5">
      <c r="A34" s="85"/>
      <c r="B34" s="85"/>
      <c r="C34" s="103" t="str">
        <f>'Planilha de Custo'!A34</f>
        <v>Lentes</v>
      </c>
      <c r="D34" s="103"/>
      <c r="E34" s="103"/>
      <c r="F34" s="103" t="str">
        <f>'Planilha de Custo'!A59</f>
        <v>Hospedagem</v>
      </c>
      <c r="G34" s="104"/>
      <c r="H34" s="104"/>
      <c r="I34" s="103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5">
      <c r="A35" s="85"/>
      <c r="B35" s="85"/>
      <c r="C35" s="103" t="str">
        <f>'Planilha de Custo'!A35</f>
        <v>Iluminação</v>
      </c>
      <c r="D35" s="103"/>
      <c r="E35" s="103"/>
      <c r="F35" s="103" t="str">
        <f>'Planilha de Custo'!A60</f>
        <v>Locacão</v>
      </c>
      <c r="G35" s="104"/>
      <c r="H35" s="104"/>
      <c r="I35" s="103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5.75" customHeight="1" x14ac:dyDescent="0.5">
      <c r="A36" s="85"/>
      <c r="B36" s="85"/>
      <c r="C36" s="103" t="str">
        <f>'Planilha de Custo'!A36</f>
        <v>Acessórios</v>
      </c>
      <c r="D36" s="103"/>
      <c r="E36" s="103"/>
      <c r="F36" s="103"/>
      <c r="G36" s="103"/>
      <c r="H36" s="103"/>
      <c r="I36" s="103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5.75" customHeight="1" x14ac:dyDescent="0.5">
      <c r="A37" s="85"/>
      <c r="B37" s="85"/>
      <c r="C37" s="103"/>
      <c r="D37" s="103"/>
      <c r="E37" s="103"/>
      <c r="F37" s="103"/>
      <c r="G37" s="106"/>
      <c r="H37" s="103"/>
      <c r="I37" s="103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5">
      <c r="A38" s="85"/>
      <c r="B38" s="85"/>
      <c r="C38" s="85"/>
      <c r="D38" s="85"/>
      <c r="E38" s="85"/>
      <c r="F38" s="85"/>
      <c r="G38" s="107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5">
      <c r="A40" s="85"/>
      <c r="B40" s="85"/>
      <c r="C40" s="108" t="s">
        <v>63</v>
      </c>
      <c r="D40" s="109">
        <f>'Planilha de Custo'!E78</f>
        <v>1210</v>
      </c>
      <c r="E40" s="103"/>
      <c r="F40" s="103"/>
      <c r="G40" s="103"/>
      <c r="H40" s="103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5">
      <c r="A41" s="85"/>
      <c r="B41" s="85"/>
      <c r="C41" s="110" t="s">
        <v>64</v>
      </c>
      <c r="D41" s="103"/>
      <c r="E41" s="103"/>
      <c r="F41" s="103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5">
      <c r="A43" s="85"/>
      <c r="B43" s="85"/>
      <c r="C43" s="111" t="s">
        <v>65</v>
      </c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5">
      <c r="A44" s="85"/>
      <c r="B44" s="85"/>
      <c r="C44" s="112" t="s">
        <v>66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5">
      <c r="A45" s="85"/>
      <c r="B45" s="85"/>
      <c r="C45" s="112" t="s">
        <v>67</v>
      </c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5">
      <c r="A46" s="85"/>
      <c r="B46" s="85"/>
      <c r="C46" s="112" t="s">
        <v>68</v>
      </c>
      <c r="D46" s="85"/>
      <c r="E46" s="85"/>
      <c r="F46" s="85"/>
      <c r="G46" s="85"/>
      <c r="H46" s="85"/>
      <c r="I46" s="85"/>
      <c r="J46" s="85"/>
      <c r="K46" s="85"/>
      <c r="L46" s="85"/>
      <c r="M46" s="85" t="s">
        <v>69</v>
      </c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5">
      <c r="A47" s="85"/>
      <c r="B47" s="85"/>
      <c r="C47" s="112" t="s">
        <v>70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5">
      <c r="A48" s="85"/>
      <c r="B48" s="85"/>
      <c r="C48" s="111" t="s">
        <v>71</v>
      </c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5">
      <c r="A49" s="85"/>
      <c r="B49" s="85"/>
      <c r="C49" s="112" t="s">
        <v>72</v>
      </c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5">
      <c r="A52" s="85"/>
      <c r="B52" s="85"/>
      <c r="C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5">
      <c r="A53" s="85"/>
      <c r="B53" s="85"/>
      <c r="C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5">
      <c r="A54" s="85"/>
      <c r="B54" s="85"/>
      <c r="C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5">
      <c r="A55" s="85"/>
      <c r="B55" s="85"/>
      <c r="C55" s="85"/>
      <c r="E55" s="85"/>
      <c r="F55" s="85"/>
      <c r="G55" s="85"/>
      <c r="H55" s="85"/>
      <c r="I55" s="85"/>
      <c r="J55" s="85"/>
      <c r="K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5">
      <c r="A57" s="85"/>
      <c r="B57" s="85"/>
      <c r="C57" s="85"/>
      <c r="D57" s="85"/>
      <c r="E57" s="85"/>
      <c r="F57" s="113"/>
      <c r="G57" s="113" t="s">
        <v>73</v>
      </c>
      <c r="H57" s="113"/>
      <c r="I57" s="113"/>
      <c r="J57" s="113"/>
      <c r="K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">
    <mergeCell ref="B5:C5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de Custo</vt:lpstr>
      <vt:lpstr>Orçamento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JAHDIELSON EDIÇÃO</dc:creator>
  <cp:lastModifiedBy>Jadielson Davi</cp:lastModifiedBy>
  <dcterms:created xsi:type="dcterms:W3CDTF">2025-07-21T19:08:30Z</dcterms:created>
  <dcterms:modified xsi:type="dcterms:W3CDTF">2025-07-21T19:16:33Z</dcterms:modified>
</cp:coreProperties>
</file>